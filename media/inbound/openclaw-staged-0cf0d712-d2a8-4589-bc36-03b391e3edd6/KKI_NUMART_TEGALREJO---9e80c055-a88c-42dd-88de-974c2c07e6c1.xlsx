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OMUT\BUMNU\NU GROSIR\NU MART 6 TEGALREJO\"/>
    </mc:Choice>
  </mc:AlternateContent>
  <xr:revisionPtr revIDLastSave="0" documentId="13_ncr:1_{171D0B5D-AEEC-448F-ADB5-D9237E362A1C}" xr6:coauthVersionLast="47" xr6:coauthVersionMax="47" xr10:uidLastSave="{00000000-0000-0000-0000-000000000000}"/>
  <bookViews>
    <workbookView xWindow="-120" yWindow="-120" windowWidth="20730" windowHeight="11040" activeTab="1" xr2:uid="{D6D7238C-DAAC-4028-AAEE-91B8A09E3D32}"/>
  </bookViews>
  <sheets>
    <sheet name="MENU" sheetId="4" r:id="rId1"/>
    <sheet name="KKI" sheetId="6" r:id="rId2"/>
    <sheet name="RAK" sheetId="1" r:id="rId3"/>
    <sheet name="POS" sheetId="2" r:id="rId4"/>
    <sheet name="PK" sheetId="5" r:id="rId5"/>
    <sheet name="GAJI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6" l="1"/>
  <c r="K34" i="1"/>
  <c r="K33" i="1"/>
  <c r="K32" i="1"/>
  <c r="K35" i="1" s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7" i="1"/>
  <c r="F29" i="1" s="1"/>
  <c r="F6" i="1"/>
  <c r="D38" i="6" l="1"/>
  <c r="D40" i="6" s="1"/>
  <c r="D43" i="6" s="1"/>
  <c r="D46" i="6" s="1"/>
  <c r="D7" i="6"/>
  <c r="G10" i="5"/>
  <c r="G9" i="5"/>
  <c r="G8" i="5"/>
  <c r="G7" i="5"/>
  <c r="G6" i="5"/>
  <c r="B6" i="5"/>
  <c r="B7" i="5" s="1"/>
  <c r="B8" i="5" s="1"/>
  <c r="B9" i="5" s="1"/>
  <c r="B10" i="5" s="1"/>
  <c r="G5" i="5"/>
  <c r="B5" i="5"/>
  <c r="G4" i="5"/>
  <c r="H16" i="3"/>
  <c r="H15" i="3"/>
  <c r="H14" i="3"/>
  <c r="F12" i="3"/>
  <c r="H11" i="3"/>
  <c r="H10" i="3"/>
  <c r="H9" i="3"/>
  <c r="H8" i="3"/>
  <c r="H7" i="3"/>
  <c r="H6" i="3"/>
  <c r="H5" i="3"/>
  <c r="H4" i="3"/>
  <c r="H12" i="3" s="1"/>
  <c r="H17" i="3" s="1"/>
  <c r="D57" i="6" s="1"/>
  <c r="D20" i="6" l="1"/>
  <c r="D22" i="6"/>
  <c r="D24" i="6" s="1"/>
  <c r="D51" i="6"/>
  <c r="D59" i="6"/>
  <c r="D58" i="6"/>
  <c r="D53" i="6"/>
  <c r="D61" i="6"/>
  <c r="G11" i="5"/>
  <c r="D29" i="6" l="1"/>
  <c r="D62" i="6"/>
  <c r="D64" i="6" s="1"/>
  <c r="D65" i="6" s="1"/>
  <c r="D68" i="6" s="1"/>
  <c r="D30" i="6" l="1"/>
  <c r="D32" i="6" s="1"/>
  <c r="G23" i="2"/>
  <c r="G22" i="2"/>
  <c r="G21" i="2"/>
  <c r="G20" i="2"/>
  <c r="G19" i="2"/>
  <c r="G18" i="2"/>
  <c r="G17" i="2"/>
  <c r="G16" i="2"/>
  <c r="G14" i="2"/>
  <c r="G13" i="2"/>
  <c r="G12" i="2"/>
  <c r="G11" i="2"/>
  <c r="G10" i="2"/>
  <c r="G9" i="2"/>
  <c r="G8" i="2"/>
  <c r="G7" i="2"/>
  <c r="G6" i="2"/>
  <c r="G5" i="2"/>
  <c r="B5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G4" i="2"/>
  <c r="G24" i="2" s="1"/>
  <c r="E69" i="6" l="1"/>
</calcChain>
</file>

<file path=xl/sharedStrings.xml><?xml version="1.0" encoding="utf-8"?>
<sst xmlns="http://schemas.openxmlformats.org/spreadsheetml/2006/main" count="261" uniqueCount="196">
  <si>
    <t>NO</t>
  </si>
  <si>
    <t>NAMA ITEM</t>
  </si>
  <si>
    <t>QTY</t>
  </si>
  <si>
    <t>SATUAN</t>
  </si>
  <si>
    <t>HARGA</t>
  </si>
  <si>
    <t>TOTAL</t>
  </si>
  <si>
    <t>pcs</t>
  </si>
  <si>
    <t>set</t>
  </si>
  <si>
    <t>Keranjang Mie</t>
  </si>
  <si>
    <t>Price Rail (Hijau)</t>
  </si>
  <si>
    <t>Stand Promo board A4</t>
  </si>
  <si>
    <t>Akrilik promo board A5</t>
  </si>
  <si>
    <t>Rak chiki (atas freezer)</t>
  </si>
  <si>
    <t>Palet promo (plastik)*</t>
  </si>
  <si>
    <t>Timbangan telur</t>
  </si>
  <si>
    <t>BIAYA P.O.S LENGKAP</t>
  </si>
  <si>
    <t>PIC : YUSUF</t>
  </si>
  <si>
    <t>ITEMS</t>
  </si>
  <si>
    <t>TYPE/MERK</t>
  </si>
  <si>
    <t>PRICE</t>
  </si>
  <si>
    <t>PRINTER INK</t>
  </si>
  <si>
    <t>EPSON L3210</t>
  </si>
  <si>
    <t>WORK STATION</t>
  </si>
  <si>
    <t>PC RAKITAN DUAL MONITOR</t>
  </si>
  <si>
    <t>PC RAKITAN</t>
  </si>
  <si>
    <t>BARCODE SCANER</t>
  </si>
  <si>
    <t>MULTI LASER EPOS</t>
  </si>
  <si>
    <t>PRINTER KASIR</t>
  </si>
  <si>
    <t>THERMAL CUTING</t>
  </si>
  <si>
    <t>CASH DRAWER</t>
  </si>
  <si>
    <t>STD NEW</t>
  </si>
  <si>
    <t>BOT W.A BLASTER</t>
  </si>
  <si>
    <t>MULTI SENDER</t>
  </si>
  <si>
    <t>PRINTER TAB</t>
  </si>
  <si>
    <t>THERMAL PORTABLE</t>
  </si>
  <si>
    <t>MONEY SCANNER</t>
  </si>
  <si>
    <t>EXTENTION UPS</t>
  </si>
  <si>
    <t>700VA</t>
  </si>
  <si>
    <t>INSTALASI</t>
  </si>
  <si>
    <t>JARINGAN STD</t>
  </si>
  <si>
    <t>MIKROTIK</t>
  </si>
  <si>
    <t>ROUTERBOARD NEW</t>
  </si>
  <si>
    <t>-</t>
  </si>
  <si>
    <t>ACCESPOINT</t>
  </si>
  <si>
    <t>AX5400 Dual-Band</t>
  </si>
  <si>
    <t>SOFTWARE</t>
  </si>
  <si>
    <t>CREATIVE CODE APP LICENSE POS</t>
  </si>
  <si>
    <t>SMART PHONE</t>
  </si>
  <si>
    <t>SAMSUNG</t>
  </si>
  <si>
    <t>KONFIGURASI</t>
  </si>
  <si>
    <t>DATA BASE + MAINTENANCE 60 BLN</t>
  </si>
  <si>
    <t>CCTV</t>
  </si>
  <si>
    <t>PAKET 8 CH + MONITOR 32 INCH</t>
  </si>
  <si>
    <t>AUDIO SET</t>
  </si>
  <si>
    <t>PAKET AUDIO DUSENBERG</t>
  </si>
  <si>
    <t>KONEKSI INTERNET</t>
  </si>
  <si>
    <t>Dynamic 1P 50 Mbps</t>
  </si>
  <si>
    <t>BIAYA CADANGAN</t>
  </si>
  <si>
    <t>TOTAL HARGA</t>
  </si>
  <si>
    <t>PERKIRAAN BIAYA TENAGA KERJA</t>
  </si>
  <si>
    <t>JABATAN</t>
  </si>
  <si>
    <t>SPESIFIKASI</t>
  </si>
  <si>
    <t>Job Class</t>
  </si>
  <si>
    <t>Kepala Toko</t>
  </si>
  <si>
    <t>L/P max 35 th</t>
  </si>
  <si>
    <t>Supervisor</t>
  </si>
  <si>
    <t>Ass. Kepala Toko</t>
  </si>
  <si>
    <t>L/P max 25 th</t>
  </si>
  <si>
    <t>Jr. Supervisor</t>
  </si>
  <si>
    <t>Kasir</t>
  </si>
  <si>
    <t>Perempuan max 25 th</t>
  </si>
  <si>
    <t>Clerk</t>
  </si>
  <si>
    <t>Pramuniaga</t>
  </si>
  <si>
    <t>Fakturis</t>
  </si>
  <si>
    <t>Officer</t>
  </si>
  <si>
    <t>Logistik</t>
  </si>
  <si>
    <t>Laki-laki max 25 th</t>
  </si>
  <si>
    <t>Driver</t>
  </si>
  <si>
    <t>Laki-laki max 35 th</t>
  </si>
  <si>
    <t>Helper</t>
  </si>
  <si>
    <t>TOTAL GAJI</t>
  </si>
  <si>
    <t>BPJS KESEHATAN</t>
  </si>
  <si>
    <t>KELAS II</t>
  </si>
  <si>
    <t>Optional</t>
  </si>
  <si>
    <t>BPJS KETENAGAKERJAAN</t>
  </si>
  <si>
    <t>SESUAI JOB</t>
  </si>
  <si>
    <t>BIAYA BPJS</t>
  </si>
  <si>
    <t>Gudang BUMNU</t>
  </si>
  <si>
    <t>LOKASI KERJA</t>
  </si>
  <si>
    <t>PERKIRAAN BIAYA PERALATAN KERJA</t>
  </si>
  <si>
    <t>KURSI PLASTIK</t>
  </si>
  <si>
    <t>LION</t>
  </si>
  <si>
    <t>KURSI CHETOSE</t>
  </si>
  <si>
    <t>STD</t>
  </si>
  <si>
    <t>GENSET SILENT</t>
  </si>
  <si>
    <t>6000VA</t>
  </si>
  <si>
    <t>DISPENSER DAN GALON</t>
  </si>
  <si>
    <t>T-SHIRT SRAGAM</t>
  </si>
  <si>
    <t>KANTONG KRESEK, LAKBAN, RAVIA, ATK, ALAT KEBERSIHAN DLL</t>
  </si>
  <si>
    <t>BANNER</t>
  </si>
  <si>
    <t>BAGI HASIL DARI OMZET PENJUALAN</t>
  </si>
  <si>
    <t>I Perkiraan Investasi</t>
  </si>
  <si>
    <t>Nilai (Rp)</t>
  </si>
  <si>
    <t>PPN</t>
  </si>
  <si>
    <t>Recruitment Karyawan, salary training 2 bln include kamar kos</t>
  </si>
  <si>
    <t>Paket regular pangkalan gas elpiji 3kg</t>
  </si>
  <si>
    <t>Perijinan ( domisili, SIUP/TDUP, TDP,UUG/SITU, Notaris )</t>
  </si>
  <si>
    <t>Asuransi</t>
  </si>
  <si>
    <t>a</t>
  </si>
  <si>
    <t>Tambah daya listrik Rp.968,- / KWH (7.700 VA)</t>
  </si>
  <si>
    <t>b</t>
  </si>
  <si>
    <t>Penyambungan Telephone</t>
  </si>
  <si>
    <t>c</t>
  </si>
  <si>
    <t>Penyambungan pompa air</t>
  </si>
  <si>
    <t>Pekerjaan Renovasi sipil</t>
  </si>
  <si>
    <t>Pekerjaan Instalasi listrik dan instalasi pemasangan listrik 35 titik</t>
  </si>
  <si>
    <t>Pekerjaan alumunium</t>
  </si>
  <si>
    <t>d</t>
  </si>
  <si>
    <t>Biaya Penjagan toko</t>
  </si>
  <si>
    <t>Peralatan AC Split (Daikin 2,0 PK 2 Unit)</t>
  </si>
  <si>
    <t>Peralatan Pendukung</t>
  </si>
  <si>
    <t>Peralatan toko dan rak (Rak, POS, alat kerja)</t>
  </si>
  <si>
    <t>ATK, dll</t>
  </si>
  <si>
    <t>Sub Total Investasi (Sebelum PPN)</t>
  </si>
  <si>
    <t>Sewa tempat</t>
  </si>
  <si>
    <t>Total Investasi (Sebelum PPN)</t>
  </si>
  <si>
    <t>Total Investasi (Sesudah PPN)</t>
  </si>
  <si>
    <t xml:space="preserve">Estimasi </t>
  </si>
  <si>
    <t>Average setelah 6 bln pertama</t>
  </si>
  <si>
    <t>II Perkiraan Penjualan Per bulan</t>
  </si>
  <si>
    <t>Struk Per Day (STD)</t>
  </si>
  <si>
    <t>Average Purchase per Customer (APC)</t>
  </si>
  <si>
    <t>Sales per Day (SPD)</t>
  </si>
  <si>
    <t>Taking Order (10 E.C)</t>
  </si>
  <si>
    <t>Penjualan per Bulan (30 hari)</t>
  </si>
  <si>
    <t>III.Perkiraan Pendapatan per bulan</t>
  </si>
  <si>
    <t>Laba kotor penjualan</t>
  </si>
  <si>
    <t>Pendapatan lain - lain</t>
  </si>
  <si>
    <t>Kerjasama promosi</t>
  </si>
  <si>
    <t>Total Perkiraan pendapatan kotor per bulan</t>
  </si>
  <si>
    <t>IV.Perkiraan Pengeluaran per bulan</t>
  </si>
  <si>
    <t>Sesuai Budget</t>
  </si>
  <si>
    <t>Biaya Type A - a.  Biaya Operasional salesman</t>
  </si>
  <si>
    <r>
      <t xml:space="preserve">                       </t>
    </r>
    <r>
      <rPr>
        <sz val="12"/>
        <rFont val="Arial"/>
        <family val="2"/>
      </rPr>
      <t>b  Cadangan Barang Rusak ( 0,1% sales )</t>
    </r>
  </si>
  <si>
    <r>
      <t xml:space="preserve">                       </t>
    </r>
    <r>
      <rPr>
        <sz val="12"/>
        <rFont val="Arial"/>
        <family val="2"/>
      </rPr>
      <t>c  Premi Asuransi RSMD &amp; Kecurian Kas</t>
    </r>
  </si>
  <si>
    <r>
      <t xml:space="preserve">                       </t>
    </r>
    <r>
      <rPr>
        <sz val="12"/>
        <rFont val="Arial"/>
        <family val="2"/>
      </rPr>
      <t>d  Cadangan Biaya Promosi</t>
    </r>
  </si>
  <si>
    <r>
      <t xml:space="preserve">                       e</t>
    </r>
    <r>
      <rPr>
        <sz val="12"/>
        <rFont val="Arial"/>
        <family val="2"/>
      </rPr>
      <t xml:space="preserve">  Operasional Delivery</t>
    </r>
  </si>
  <si>
    <r>
      <t xml:space="preserve">                       f</t>
    </r>
    <r>
      <rPr>
        <sz val="12"/>
        <rFont val="Arial"/>
        <family val="2"/>
      </rPr>
      <t xml:space="preserve"> Listrik Toko</t>
    </r>
  </si>
  <si>
    <r>
      <t xml:space="preserve">                       g</t>
    </r>
    <r>
      <rPr>
        <sz val="12"/>
        <rFont val="Arial"/>
        <family val="2"/>
      </rPr>
      <t xml:space="preserve"> Atk dan Kebersihan</t>
    </r>
  </si>
  <si>
    <t>Biaya Type B : Biaya Personalia (8 Krywn)</t>
  </si>
  <si>
    <t>Biaya Type C   a  Cadangan Tax (ppn 11% x profit bkp)</t>
  </si>
  <si>
    <r>
      <t xml:space="preserve">                       </t>
    </r>
    <r>
      <rPr>
        <sz val="12"/>
        <rFont val="Arial"/>
        <family val="2"/>
      </rPr>
      <t>b  Cadangan Fee / Incentive</t>
    </r>
  </si>
  <si>
    <t xml:space="preserve">                       c  Delivery / Logistik</t>
  </si>
  <si>
    <r>
      <t xml:space="preserve">                       </t>
    </r>
    <r>
      <rPr>
        <sz val="12"/>
        <rFont val="Arial"/>
        <family val="2"/>
      </rPr>
      <t>d  Cadangan barang hilang ( 0,15% sales)</t>
    </r>
  </si>
  <si>
    <t>Total Pengeluaran / bulan</t>
  </si>
  <si>
    <t>Laba Bersih</t>
  </si>
  <si>
    <t>Profit Sharing 50%</t>
  </si>
  <si>
    <t>V. Perkiraan Rata -  rata laba/(rugi) per bulan selama 5 th (sebelum pajak penghasilan)</t>
  </si>
  <si>
    <t>Nett Profit</t>
  </si>
  <si>
    <t>payback period</t>
  </si>
  <si>
    <t>Angka di atas merupakan suatu perkiraan dan bukan merupakan suatu jaminan karena angka tersebut adalah hasil perhitungan yang di ambil</t>
  </si>
  <si>
    <t>berdasarkan pengalaman dan hasil survey kami . Dalam bisnis ritel masih mungkin sekali terjadi deviasi atau hal -hal di luar dugaan yang</t>
  </si>
  <si>
    <t>mengakibatkan terjadinya kerugian toko dan harus di terima sebagai konsekuensi usahaa/ resiko dagang</t>
  </si>
  <si>
    <t>Note : Pay Back Period  bulan sebelum PPN</t>
  </si>
  <si>
    <t>Rak Obral/Wagon (120*80cm) super indo rec</t>
  </si>
  <si>
    <t>Backwall (90*45*180cm)alfa rec</t>
  </si>
  <si>
    <t>Backwall (120*45*180cm) alfa rec</t>
  </si>
  <si>
    <t>Meja Kasir alfa rec</t>
  </si>
  <si>
    <t>Rak Gondola Single Starting (90*35*170cm) ori idm</t>
  </si>
  <si>
    <t>Rak Gondola Single Jointing (90*35*170cm)  ori idm</t>
  </si>
  <si>
    <t>Rak Gondola Double Starting (90*35*150cm)  ori idm</t>
  </si>
  <si>
    <t>Rak Gondola Double Jointing (90*35*150cm)  ori idm</t>
  </si>
  <si>
    <t>Rak Gondola End (70*35*150cm) ori idm</t>
  </si>
  <si>
    <t>Selving tambahan all varian  ori idm</t>
  </si>
  <si>
    <t>Hook uk. 25cm  ori idm</t>
  </si>
  <si>
    <t>Keranjang belanja kecil (Hijau)</t>
  </si>
  <si>
    <t>Pusher (akrilik) tempat rokok ori alfa</t>
  </si>
  <si>
    <t>Showcase 2 pintu idm Sanden/Panasonic</t>
  </si>
  <si>
    <t>Kranjang belanja besar</t>
  </si>
  <si>
    <t>Kontainer box (gula)</t>
  </si>
  <si>
    <t>single</t>
  </si>
  <si>
    <t>double</t>
  </si>
  <si>
    <t>end</t>
  </si>
  <si>
    <t xml:space="preserve">KLIK UNTUK RINCIAN </t>
  </si>
  <si>
    <t>NOMINAL</t>
  </si>
  <si>
    <t>Proposal Kertas Kerja Investasi NUMART TEGALREJO</t>
  </si>
  <si>
    <t>Biaya Promosi pembukaan/relaunching toko</t>
  </si>
  <si>
    <t>Komitmen Managemen Start Up by  BUMNU partner</t>
  </si>
  <si>
    <t>Perkiraan stock awal NU Mart Tegalrejo</t>
  </si>
  <si>
    <t>Investasi MWC NU TEGALREJO</t>
  </si>
  <si>
    <t>Total Investasi Nu Grosir</t>
  </si>
  <si>
    <t xml:space="preserve">TOTAL INVESTASI </t>
  </si>
  <si>
    <t>PERKIRAAN KEBUTUHAN RAK STANDART NU MART 5</t>
  </si>
  <si>
    <t>NUMART TEGALREJO</t>
  </si>
  <si>
    <t>INFRASTRUKTUR NU MART TEGALREJO</t>
  </si>
  <si>
    <t>SEWA TEMPAT NU MART/TAHUN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</si>
</sst>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-[$Rp-3809]* #,##0_-;\-[$Rp-3809]* #,##0_-;_-[$Rp-3809]* &quot;-&quot;??_-;_-@_-"/>
    <numFmt numFmtId="166" formatCode="_-&quot;Rp&quot;* #,##0_-;\-&quot;Rp&quot;* #,##0_-;_-&quot;Rp&quot;* &quot;-&quot;_-;_-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name val="Arial"/>
      <family val="2"/>
    </font>
    <font>
      <i/>
      <sz val="12"/>
      <name val="Arial"/>
      <family val="2"/>
    </font>
    <font>
      <sz val="8"/>
      <name val="Arial"/>
      <family val="2"/>
    </font>
    <font>
      <sz val="12"/>
      <name val="Arial Unicode MS"/>
      <family val="2"/>
    </font>
    <font>
      <b/>
      <sz val="12"/>
      <color rgb="FFFFC000"/>
      <name val="Arial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i/>
      <sz val="11"/>
      <color rgb="FFFF0000"/>
      <name val="Arial"/>
      <family val="2"/>
    </font>
    <font>
      <sz val="18"/>
      <color theme="1"/>
      <name val="Aharoni"/>
      <charset val="177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5" fillId="0" borderId="0" xfId="0" applyFont="1"/>
    <xf numFmtId="164" fontId="5" fillId="0" borderId="0" xfId="1" applyFont="1"/>
    <xf numFmtId="0" fontId="4" fillId="3" borderId="2" xfId="0" applyFont="1" applyFill="1" applyBorder="1" applyAlignment="1">
      <alignment horizontal="center"/>
    </xf>
    <xf numFmtId="164" fontId="4" fillId="3" borderId="2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1" applyNumberFormat="1" applyFont="1" applyBorder="1" applyAlignment="1">
      <alignment horizontal="center" vertical="center"/>
    </xf>
    <xf numFmtId="164" fontId="5" fillId="0" borderId="2" xfId="1" applyFont="1" applyBorder="1"/>
    <xf numFmtId="164" fontId="2" fillId="0" borderId="0" xfId="0" applyNumberFormat="1" applyFont="1"/>
    <xf numFmtId="0" fontId="5" fillId="0" borderId="2" xfId="0" applyFont="1" applyBorder="1" applyAlignment="1">
      <alignment vertical="center"/>
    </xf>
    <xf numFmtId="164" fontId="5" fillId="0" borderId="2" xfId="1" applyFont="1" applyBorder="1" applyAlignment="1">
      <alignment vertical="center"/>
    </xf>
    <xf numFmtId="0" fontId="2" fillId="0" borderId="0" xfId="0" applyFont="1" applyAlignment="1">
      <alignment wrapText="1"/>
    </xf>
    <xf numFmtId="0" fontId="5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4" borderId="2" xfId="1" applyNumberFormat="1" applyFont="1" applyFill="1" applyBorder="1" applyAlignment="1">
      <alignment horizontal="center" vertical="center"/>
    </xf>
    <xf numFmtId="164" fontId="5" fillId="4" borderId="2" xfId="1" applyFont="1" applyFill="1" applyBorder="1"/>
    <xf numFmtId="0" fontId="6" fillId="3" borderId="2" xfId="0" applyFont="1" applyFill="1" applyBorder="1"/>
    <xf numFmtId="164" fontId="6" fillId="3" borderId="2" xfId="1" applyFont="1" applyFill="1" applyBorder="1"/>
    <xf numFmtId="0" fontId="5" fillId="0" borderId="2" xfId="0" applyFont="1" applyBorder="1" applyAlignment="1">
      <alignment horizontal="center"/>
    </xf>
    <xf numFmtId="0" fontId="6" fillId="3" borderId="2" xfId="1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2" xfId="1" applyNumberFormat="1" applyFont="1" applyFill="1" applyBorder="1" applyAlignment="1">
      <alignment horizontal="center"/>
    </xf>
    <xf numFmtId="164" fontId="6" fillId="5" borderId="2" xfId="1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1" applyNumberFormat="1" applyFont="1" applyFill="1" applyBorder="1" applyAlignment="1">
      <alignment horizontal="center"/>
    </xf>
    <xf numFmtId="164" fontId="5" fillId="5" borderId="2" xfId="1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164" fontId="6" fillId="3" borderId="2" xfId="1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164" fontId="7" fillId="3" borderId="0" xfId="1" applyFont="1" applyFill="1" applyAlignment="1">
      <alignment vertical="center"/>
    </xf>
    <xf numFmtId="165" fontId="7" fillId="3" borderId="0" xfId="1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1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4" xfId="0" applyFont="1" applyBorder="1"/>
    <xf numFmtId="3" fontId="8" fillId="0" borderId="4" xfId="0" applyNumberFormat="1" applyFont="1" applyBorder="1"/>
    <xf numFmtId="3" fontId="8" fillId="0" borderId="0" xfId="0" applyNumberFormat="1" applyFont="1"/>
    <xf numFmtId="0" fontId="8" fillId="0" borderId="0" xfId="0" applyFont="1" applyAlignment="1">
      <alignment horizontal="center" vertical="center"/>
    </xf>
    <xf numFmtId="1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/>
    </xf>
    <xf numFmtId="0" fontId="13" fillId="0" borderId="4" xfId="0" applyFont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3" fontId="9" fillId="6" borderId="4" xfId="0" applyNumberFormat="1" applyFont="1" applyFill="1" applyBorder="1"/>
    <xf numFmtId="0" fontId="14" fillId="0" borderId="4" xfId="0" applyFont="1" applyBorder="1" applyAlignment="1">
      <alignment horizontal="left"/>
    </xf>
    <xf numFmtId="3" fontId="13" fillId="6" borderId="4" xfId="0" applyNumberFormat="1" applyFont="1" applyFill="1" applyBorder="1"/>
    <xf numFmtId="164" fontId="8" fillId="0" borderId="0" xfId="0" applyNumberFormat="1" applyFont="1"/>
    <xf numFmtId="164" fontId="8" fillId="0" borderId="0" xfId="1" applyFont="1"/>
    <xf numFmtId="0" fontId="15" fillId="0" borderId="0" xfId="0" applyFont="1"/>
    <xf numFmtId="164" fontId="15" fillId="0" borderId="0" xfId="1" applyFont="1"/>
    <xf numFmtId="0" fontId="14" fillId="0" borderId="4" xfId="0" applyFont="1" applyBorder="1"/>
    <xf numFmtId="0" fontId="16" fillId="0" borderId="4" xfId="0" applyFont="1" applyBorder="1"/>
    <xf numFmtId="3" fontId="0" fillId="0" borderId="0" xfId="0" applyNumberFormat="1"/>
    <xf numFmtId="10" fontId="8" fillId="0" borderId="0" xfId="0" applyNumberFormat="1" applyFont="1"/>
    <xf numFmtId="3" fontId="8" fillId="0" borderId="5" xfId="0" applyNumberFormat="1" applyFont="1" applyBorder="1"/>
    <xf numFmtId="3" fontId="8" fillId="0" borderId="6" xfId="0" applyNumberFormat="1" applyFont="1" applyBorder="1"/>
    <xf numFmtId="3" fontId="9" fillId="0" borderId="0" xfId="0" applyNumberFormat="1" applyFont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left"/>
    </xf>
    <xf numFmtId="0" fontId="9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/>
    <xf numFmtId="0" fontId="18" fillId="0" borderId="0" xfId="0" applyFont="1"/>
    <xf numFmtId="10" fontId="6" fillId="0" borderId="0" xfId="2" applyNumberFormat="1" applyFont="1"/>
    <xf numFmtId="0" fontId="3" fillId="0" borderId="0" xfId="0" applyFont="1"/>
    <xf numFmtId="0" fontId="3" fillId="8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6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9" borderId="12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6" fontId="3" fillId="0" borderId="8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6" fontId="3" fillId="0" borderId="14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horizontal="center" vertical="center"/>
    </xf>
    <xf numFmtId="0" fontId="19" fillId="8" borderId="11" xfId="0" applyFont="1" applyFill="1" applyBorder="1" applyAlignment="1">
      <alignment vertical="center"/>
    </xf>
    <xf numFmtId="166" fontId="19" fillId="8" borderId="11" xfId="0" applyNumberFormat="1" applyFont="1" applyFill="1" applyBorder="1" applyAlignment="1">
      <alignment vertical="center"/>
    </xf>
    <xf numFmtId="0" fontId="20" fillId="0" borderId="0" xfId="0" applyFont="1"/>
    <xf numFmtId="0" fontId="13" fillId="6" borderId="7" xfId="0" applyFont="1" applyFill="1" applyBorder="1" applyAlignment="1">
      <alignment horizontal="left"/>
    </xf>
    <xf numFmtId="3" fontId="9" fillId="6" borderId="7" xfId="0" applyNumberFormat="1" applyFont="1" applyFill="1" applyBorder="1"/>
    <xf numFmtId="0" fontId="13" fillId="6" borderId="2" xfId="0" applyFont="1" applyFill="1" applyBorder="1" applyAlignment="1">
      <alignment horizontal="left"/>
    </xf>
    <xf numFmtId="3" fontId="9" fillId="6" borderId="2" xfId="0" applyNumberFormat="1" applyFont="1" applyFill="1" applyBorder="1"/>
    <xf numFmtId="0" fontId="9" fillId="6" borderId="1" xfId="0" applyFont="1" applyFill="1" applyBorder="1" applyAlignment="1">
      <alignment horizontal="center"/>
    </xf>
    <xf numFmtId="1" fontId="9" fillId="6" borderId="3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6" fontId="3" fillId="0" borderId="8" xfId="0" applyNumberFormat="1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3" fillId="0" borderId="0" xfId="0" applyFont="1"/>
    <xf numFmtId="0" fontId="19" fillId="8" borderId="8" xfId="0" applyFont="1" applyFill="1" applyBorder="1" applyAlignment="1">
      <alignment horizontal="center" vertical="center"/>
    </xf>
    <xf numFmtId="0" fontId="3" fillId="0" borderId="11" xfId="0" applyFont="1" applyBorder="1"/>
    <xf numFmtId="0" fontId="19" fillId="8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4" fillId="2" borderId="0" xfId="0" applyFont="1" applyFill="1" applyAlignment="1">
      <alignment horizontal="center"/>
    </xf>
    <xf numFmtId="0" fontId="21" fillId="10" borderId="0" xfId="0" applyFont="1" applyFill="1" applyAlignment="1">
      <alignment horizontal="center" vertical="center"/>
    </xf>
    <xf numFmtId="3" fontId="8" fillId="11" borderId="4" xfId="0" applyNumberFormat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OS!A1"/><Relationship Id="rId2" Type="http://schemas.openxmlformats.org/officeDocument/2006/relationships/hyperlink" Target="#RAK!A1"/><Relationship Id="rId1" Type="http://schemas.openxmlformats.org/officeDocument/2006/relationships/hyperlink" Target="#KKI!A1"/><Relationship Id="rId5" Type="http://schemas.openxmlformats.org/officeDocument/2006/relationships/hyperlink" Target="#GAJI!A1"/><Relationship Id="rId4" Type="http://schemas.openxmlformats.org/officeDocument/2006/relationships/hyperlink" Target="#PK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11</xdr:col>
      <xdr:colOff>121920</xdr:colOff>
      <xdr:row>3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22A8C9-7903-4412-A5C4-4D3D6B4698CA}"/>
            </a:ext>
          </a:extLst>
        </xdr:cNvPr>
        <xdr:cNvSpPr txBox="1"/>
      </xdr:nvSpPr>
      <xdr:spPr>
        <a:xfrm>
          <a:off x="0" y="7620"/>
          <a:ext cx="6827520" cy="56388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3200">
              <a:solidFill>
                <a:schemeClr val="bg1"/>
              </a:solidFill>
              <a:latin typeface="Circus Of Innocents" pitchFamily="2" charset="0"/>
            </a:rPr>
            <a:t>MENU</a:t>
          </a:r>
          <a:r>
            <a:rPr lang="en-ID" sz="3200" baseline="0">
              <a:solidFill>
                <a:schemeClr val="bg1"/>
              </a:solidFill>
              <a:latin typeface="Circus Of Innocents" pitchFamily="2" charset="0"/>
            </a:rPr>
            <a:t> ACCESS</a:t>
          </a:r>
          <a:endParaRPr lang="en-ID" sz="3200">
            <a:solidFill>
              <a:schemeClr val="bg1"/>
            </a:solidFill>
            <a:latin typeface="Circus Of Innocents" pitchFamily="2" charset="0"/>
          </a:endParaRPr>
        </a:p>
      </xdr:txBody>
    </xdr:sp>
    <xdr:clientData/>
  </xdr:twoCellAnchor>
  <xdr:twoCellAnchor>
    <xdr:from>
      <xdr:col>0</xdr:col>
      <xdr:colOff>60960</xdr:colOff>
      <xdr:row>6</xdr:row>
      <xdr:rowOff>167640</xdr:rowOff>
    </xdr:from>
    <xdr:to>
      <xdr:col>1</xdr:col>
      <xdr:colOff>533400</xdr:colOff>
      <xdr:row>10</xdr:row>
      <xdr:rowOff>0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7E9A98-102B-46EF-AB59-7DB3C014B987}"/>
            </a:ext>
          </a:extLst>
        </xdr:cNvPr>
        <xdr:cNvSpPr txBox="1"/>
      </xdr:nvSpPr>
      <xdr:spPr>
        <a:xfrm>
          <a:off x="60960" y="1264920"/>
          <a:ext cx="1082040" cy="56388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3200">
              <a:solidFill>
                <a:schemeClr val="bg1"/>
              </a:solidFill>
              <a:latin typeface="Circus Of Innocents" pitchFamily="2" charset="0"/>
            </a:rPr>
            <a:t>KKI</a:t>
          </a:r>
        </a:p>
      </xdr:txBody>
    </xdr:sp>
    <xdr:clientData/>
  </xdr:twoCellAnchor>
  <xdr:twoCellAnchor>
    <xdr:from>
      <xdr:col>2</xdr:col>
      <xdr:colOff>266700</xdr:colOff>
      <xdr:row>6</xdr:row>
      <xdr:rowOff>167640</xdr:rowOff>
    </xdr:from>
    <xdr:to>
      <xdr:col>4</xdr:col>
      <xdr:colOff>129540</xdr:colOff>
      <xdr:row>10</xdr:row>
      <xdr:rowOff>0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C142B0-DD19-4ED0-A097-C89656094E77}"/>
            </a:ext>
          </a:extLst>
        </xdr:cNvPr>
        <xdr:cNvSpPr txBox="1"/>
      </xdr:nvSpPr>
      <xdr:spPr>
        <a:xfrm>
          <a:off x="1485900" y="1264920"/>
          <a:ext cx="1082040" cy="56388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3200">
              <a:solidFill>
                <a:schemeClr val="bg1"/>
              </a:solidFill>
              <a:latin typeface="Circus Of Innocents" pitchFamily="2" charset="0"/>
            </a:rPr>
            <a:t>RAK</a:t>
          </a:r>
        </a:p>
      </xdr:txBody>
    </xdr:sp>
    <xdr:clientData/>
  </xdr:twoCellAnchor>
  <xdr:twoCellAnchor>
    <xdr:from>
      <xdr:col>4</xdr:col>
      <xdr:colOff>403860</xdr:colOff>
      <xdr:row>6</xdr:row>
      <xdr:rowOff>167640</xdr:rowOff>
    </xdr:from>
    <xdr:to>
      <xdr:col>6</xdr:col>
      <xdr:colOff>266700</xdr:colOff>
      <xdr:row>10</xdr:row>
      <xdr:rowOff>0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61A85C-4A20-42B1-B6A8-EF1CAF42FFD1}"/>
            </a:ext>
          </a:extLst>
        </xdr:cNvPr>
        <xdr:cNvSpPr txBox="1"/>
      </xdr:nvSpPr>
      <xdr:spPr>
        <a:xfrm>
          <a:off x="2842260" y="1264920"/>
          <a:ext cx="1082040" cy="56388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3200">
              <a:solidFill>
                <a:schemeClr val="bg1"/>
              </a:solidFill>
              <a:latin typeface="Circus Of Innocents" pitchFamily="2" charset="0"/>
            </a:rPr>
            <a:t>POS</a:t>
          </a:r>
        </a:p>
      </xdr:txBody>
    </xdr:sp>
    <xdr:clientData/>
  </xdr:twoCellAnchor>
  <xdr:twoCellAnchor>
    <xdr:from>
      <xdr:col>6</xdr:col>
      <xdr:colOff>556260</xdr:colOff>
      <xdr:row>7</xdr:row>
      <xdr:rowOff>0</xdr:rowOff>
    </xdr:from>
    <xdr:to>
      <xdr:col>8</xdr:col>
      <xdr:colOff>419100</xdr:colOff>
      <xdr:row>10</xdr:row>
      <xdr:rowOff>15240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1B1D7C-9001-459C-8B66-2B22DDD19CD2}"/>
            </a:ext>
          </a:extLst>
        </xdr:cNvPr>
        <xdr:cNvSpPr txBox="1"/>
      </xdr:nvSpPr>
      <xdr:spPr>
        <a:xfrm>
          <a:off x="4213860" y="1280160"/>
          <a:ext cx="1082040" cy="56388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3200">
              <a:solidFill>
                <a:schemeClr val="bg1"/>
              </a:solidFill>
              <a:latin typeface="Circus Of Innocents" pitchFamily="2" charset="0"/>
            </a:rPr>
            <a:t>PK</a:t>
          </a:r>
        </a:p>
      </xdr:txBody>
    </xdr:sp>
    <xdr:clientData/>
  </xdr:twoCellAnchor>
  <xdr:twoCellAnchor>
    <xdr:from>
      <xdr:col>9</xdr:col>
      <xdr:colOff>137160</xdr:colOff>
      <xdr:row>6</xdr:row>
      <xdr:rowOff>167640</xdr:rowOff>
    </xdr:from>
    <xdr:to>
      <xdr:col>11</xdr:col>
      <xdr:colOff>0</xdr:colOff>
      <xdr:row>10</xdr:row>
      <xdr:rowOff>0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1F4955-E6BC-4F37-971C-8ED05D7E3C2F}"/>
            </a:ext>
          </a:extLst>
        </xdr:cNvPr>
        <xdr:cNvSpPr txBox="1"/>
      </xdr:nvSpPr>
      <xdr:spPr>
        <a:xfrm>
          <a:off x="5623560" y="1264920"/>
          <a:ext cx="1082040" cy="56388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3200">
              <a:solidFill>
                <a:schemeClr val="bg1"/>
              </a:solidFill>
              <a:latin typeface="Circus Of Innocents" pitchFamily="2" charset="0"/>
            </a:rPr>
            <a:t>GAJI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9B523-7427-4EF6-B9A6-E05E51CEE277}"/>
            </a:ext>
          </a:extLst>
        </xdr:cNvPr>
        <xdr:cNvSpPr/>
      </xdr:nvSpPr>
      <xdr:spPr>
        <a:xfrm>
          <a:off x="7749540" y="198120"/>
          <a:ext cx="1577340" cy="792480"/>
        </a:xfrm>
        <a:prstGeom prst="leftArrow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MENU</a:t>
          </a:r>
          <a:r>
            <a:rPr lang="en-ID" sz="1600" baseline="0">
              <a:latin typeface="Circus Of Innocents" pitchFamily="2" charset="0"/>
            </a:rPr>
            <a:t> ACCESS</a:t>
          </a:r>
          <a:endParaRPr lang="en-ID" sz="1600">
            <a:latin typeface="Circus Of Innocents" pitchFamily="2" charset="0"/>
          </a:endParaRPr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E0891BE8-BFFF-4DD2-A6A0-78CFBA9AA514}"/>
            </a:ext>
          </a:extLst>
        </xdr:cNvPr>
        <xdr:cNvSpPr/>
      </xdr:nvSpPr>
      <xdr:spPr>
        <a:xfrm flipH="1">
          <a:off x="7749540" y="990600"/>
          <a:ext cx="1577340" cy="79248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NEXT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0</xdr:row>
      <xdr:rowOff>0</xdr:rowOff>
    </xdr:from>
    <xdr:to>
      <xdr:col>8</xdr:col>
      <xdr:colOff>419100</xdr:colOff>
      <xdr:row>4</xdr:row>
      <xdr:rowOff>53340</xdr:rowOff>
    </xdr:to>
    <xdr:sp macro="" textlink="">
      <xdr:nvSpPr>
        <xdr:cNvPr id="4" name="Arrow: Lef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BBE80-CCD4-45FC-92D2-F4D3C63B3B0A}"/>
            </a:ext>
          </a:extLst>
        </xdr:cNvPr>
        <xdr:cNvSpPr/>
      </xdr:nvSpPr>
      <xdr:spPr>
        <a:xfrm>
          <a:off x="6918960" y="0"/>
          <a:ext cx="1577340" cy="792480"/>
        </a:xfrm>
        <a:prstGeom prst="leftArrow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MENU</a:t>
          </a:r>
          <a:r>
            <a:rPr lang="en-ID" sz="1600" baseline="0">
              <a:latin typeface="Circus Of Innocents" pitchFamily="2" charset="0"/>
            </a:rPr>
            <a:t> ACCESS</a:t>
          </a:r>
          <a:endParaRPr lang="en-ID" sz="1600">
            <a:latin typeface="Circus Of Innocents" pitchFamily="2" charset="0"/>
          </a:endParaRPr>
        </a:p>
      </xdr:txBody>
    </xdr:sp>
    <xdr:clientData/>
  </xdr:twoCellAnchor>
  <xdr:twoCellAnchor>
    <xdr:from>
      <xdr:col>14</xdr:col>
      <xdr:colOff>502920</xdr:colOff>
      <xdr:row>0</xdr:row>
      <xdr:rowOff>0</xdr:rowOff>
    </xdr:from>
    <xdr:to>
      <xdr:col>17</xdr:col>
      <xdr:colOff>274320</xdr:colOff>
      <xdr:row>4</xdr:row>
      <xdr:rowOff>53340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A713415-2FBF-4646-8597-BBB1E7A3F7E9}"/>
            </a:ext>
          </a:extLst>
        </xdr:cNvPr>
        <xdr:cNvSpPr/>
      </xdr:nvSpPr>
      <xdr:spPr>
        <a:xfrm flipH="1">
          <a:off x="12192000" y="0"/>
          <a:ext cx="1577340" cy="79248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NEXT</a:t>
          </a:r>
        </a:p>
      </xdr:txBody>
    </xdr:sp>
    <xdr:clientData/>
  </xdr:twoCellAnchor>
  <xdr:twoCellAnchor editAs="oneCell">
    <xdr:from>
      <xdr:col>7</xdr:col>
      <xdr:colOff>0</xdr:colOff>
      <xdr:row>5</xdr:row>
      <xdr:rowOff>0</xdr:rowOff>
    </xdr:from>
    <xdr:to>
      <xdr:col>27</xdr:col>
      <xdr:colOff>569595</xdr:colOff>
      <xdr:row>51</xdr:row>
      <xdr:rowOff>36859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893F01-30B4-41E8-B814-E6CCE1B1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942975"/>
          <a:ext cx="15238095" cy="9923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0</xdr:row>
      <xdr:rowOff>0</xdr:rowOff>
    </xdr:from>
    <xdr:to>
      <xdr:col>7</xdr:col>
      <xdr:colOff>1714500</xdr:colOff>
      <xdr:row>4</xdr:row>
      <xdr:rowOff>15240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6E2C0-BE1C-44B0-BEDF-D4C508BB6DB1}"/>
            </a:ext>
          </a:extLst>
        </xdr:cNvPr>
        <xdr:cNvSpPr/>
      </xdr:nvSpPr>
      <xdr:spPr>
        <a:xfrm>
          <a:off x="8442960" y="0"/>
          <a:ext cx="1577340" cy="792480"/>
        </a:xfrm>
        <a:prstGeom prst="leftArrow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MENU</a:t>
          </a:r>
          <a:r>
            <a:rPr lang="en-ID" sz="1600" baseline="0">
              <a:latin typeface="Circus Of Innocents" pitchFamily="2" charset="0"/>
            </a:rPr>
            <a:t> ACCESS</a:t>
          </a:r>
          <a:endParaRPr lang="en-ID" sz="1600">
            <a:latin typeface="Circus Of Innocents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38100</xdr:rowOff>
    </xdr:from>
    <xdr:to>
      <xdr:col>9</xdr:col>
      <xdr:colOff>495300</xdr:colOff>
      <xdr:row>4</xdr:row>
      <xdr:rowOff>68580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E97EA-CD4D-4232-BC53-0B8CCE6A92CF}"/>
            </a:ext>
          </a:extLst>
        </xdr:cNvPr>
        <xdr:cNvSpPr/>
      </xdr:nvSpPr>
      <xdr:spPr>
        <a:xfrm>
          <a:off x="9113520" y="38100"/>
          <a:ext cx="1577340" cy="792480"/>
        </a:xfrm>
        <a:prstGeom prst="leftArrow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MENU</a:t>
          </a:r>
          <a:r>
            <a:rPr lang="en-ID" sz="1600" baseline="0">
              <a:latin typeface="Circus Of Innocents" pitchFamily="2" charset="0"/>
            </a:rPr>
            <a:t> ACCESS</a:t>
          </a:r>
          <a:endParaRPr lang="en-ID" sz="1600">
            <a:latin typeface="Circus Of Innocents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220980</xdr:colOff>
      <xdr:row>0</xdr:row>
      <xdr:rowOff>114300</xdr:rowOff>
    </xdr:from>
    <xdr:to>
      <xdr:col>11</xdr:col>
      <xdr:colOff>563880</xdr:colOff>
      <xdr:row>4</xdr:row>
      <xdr:rowOff>129540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B29CB-CE01-4484-9B73-982A6C6BCD3D}"/>
            </a:ext>
          </a:extLst>
        </xdr:cNvPr>
        <xdr:cNvSpPr/>
      </xdr:nvSpPr>
      <xdr:spPr>
        <a:xfrm>
          <a:off x="9685020" y="114300"/>
          <a:ext cx="1577340" cy="792480"/>
        </a:xfrm>
        <a:prstGeom prst="leftArrow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>
              <a:latin typeface="Circus Of Innocents" pitchFamily="2" charset="0"/>
            </a:rPr>
            <a:t>MENU</a:t>
          </a:r>
          <a:r>
            <a:rPr lang="en-ID" sz="1600" baseline="0">
              <a:latin typeface="Circus Of Innocents" pitchFamily="2" charset="0"/>
            </a:rPr>
            <a:t> ACCESS</a:t>
          </a:r>
          <a:endParaRPr lang="en-ID" sz="1600">
            <a:latin typeface="Circus Of Innocents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indahan%20Download/Ramadhan%201445%20H/KKI%20NUMART%20SALAM%20REVI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I1"/>
      <sheetName val="rak"/>
      <sheetName val="pos"/>
      <sheetName val="alatkerja"/>
      <sheetName val="btk"/>
      <sheetName val="potensi"/>
    </sheetNames>
    <sheetDataSet>
      <sheetData sheetId="0"/>
      <sheetData sheetId="1"/>
      <sheetData sheetId="2"/>
      <sheetData sheetId="3"/>
      <sheetData sheetId="4">
        <row r="12">
          <cell r="H12">
            <v>21870000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DD7-6C44-4D81-8B0D-333937D9F706}">
  <dimension ref="A12:K14"/>
  <sheetViews>
    <sheetView workbookViewId="0">
      <selection activeCell="A12" sqref="A12:K14"/>
    </sheetView>
  </sheetViews>
  <sheetFormatPr defaultRowHeight="15"/>
  <sheetData>
    <row r="12" spans="1:11">
      <c r="A12" s="128" t="s">
        <v>183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1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</row>
    <row r="14" spans="1:1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</row>
  </sheetData>
  <mergeCells count="1">
    <mergeCell ref="A12:K14"/>
  </mergeCells>
  <pageMargins left="0.7" right="0.7" top="0.75" bottom="0.75" header="0.3" footer="0.3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78DB-4A25-42AF-9822-3F4AD903808B}">
  <dimension ref="A1:L75"/>
  <sheetViews>
    <sheetView tabSelected="1" zoomScaleNormal="100" workbookViewId="0">
      <selection activeCell="D37" sqref="D37"/>
    </sheetView>
  </sheetViews>
  <sheetFormatPr defaultColWidth="9" defaultRowHeight="15"/>
  <cols>
    <col min="1" max="1" width="4.140625" customWidth="1"/>
    <col min="2" max="2" width="3.7109375" customWidth="1"/>
    <col min="3" max="3" width="65.140625" bestFit="1" customWidth="1"/>
    <col min="4" max="4" width="22.85546875" customWidth="1"/>
    <col min="5" max="5" width="17.140625" bestFit="1" customWidth="1"/>
    <col min="6" max="6" width="14" customWidth="1"/>
    <col min="10" max="10" width="10" customWidth="1"/>
    <col min="12" max="12" width="12.28515625" bestFit="1" customWidth="1"/>
  </cols>
  <sheetData>
    <row r="1" spans="1:6" ht="15.75">
      <c r="A1" s="107" t="s">
        <v>185</v>
      </c>
      <c r="B1" s="107"/>
      <c r="C1" s="107"/>
      <c r="D1" s="107"/>
      <c r="E1" s="107"/>
      <c r="F1" s="47"/>
    </row>
    <row r="2" spans="1:6" ht="15.75">
      <c r="A2" s="108"/>
      <c r="B2" s="108"/>
      <c r="C2" s="108"/>
      <c r="D2" s="108"/>
      <c r="E2" s="108"/>
      <c r="F2" s="47"/>
    </row>
    <row r="3" spans="1:6" ht="15.75">
      <c r="A3" s="48" t="s">
        <v>100</v>
      </c>
      <c r="B3" s="49"/>
      <c r="C3" s="50"/>
      <c r="D3" s="50"/>
      <c r="E3" s="50"/>
      <c r="F3" s="47"/>
    </row>
    <row r="4" spans="1:6" ht="15.75">
      <c r="A4" s="47" t="s">
        <v>101</v>
      </c>
      <c r="B4" s="47"/>
      <c r="C4" s="47"/>
      <c r="D4" s="51" t="s">
        <v>102</v>
      </c>
      <c r="E4" s="51" t="s">
        <v>103</v>
      </c>
      <c r="F4" s="47"/>
    </row>
    <row r="5" spans="1:6" ht="15.75">
      <c r="A5" s="51">
        <v>1</v>
      </c>
      <c r="B5" s="52"/>
      <c r="C5" s="53" t="s">
        <v>187</v>
      </c>
      <c r="D5" s="54">
        <v>20000000</v>
      </c>
      <c r="E5" s="55">
        <v>0</v>
      </c>
      <c r="F5" s="47"/>
    </row>
    <row r="6" spans="1:6" ht="15.75">
      <c r="A6" s="51">
        <v>2</v>
      </c>
      <c r="B6" s="52"/>
      <c r="C6" s="53" t="s">
        <v>186</v>
      </c>
      <c r="D6" s="54">
        <v>12500000</v>
      </c>
      <c r="E6" s="55">
        <v>0</v>
      </c>
      <c r="F6" s="47"/>
    </row>
    <row r="7" spans="1:6" ht="15.75">
      <c r="A7" s="51">
        <v>3</v>
      </c>
      <c r="B7" s="52"/>
      <c r="C7" s="53" t="s">
        <v>104</v>
      </c>
      <c r="D7" s="54">
        <f>[1]btk!H12*2</f>
        <v>43740000</v>
      </c>
      <c r="E7" s="55">
        <v>0</v>
      </c>
      <c r="F7" s="47"/>
    </row>
    <row r="8" spans="1:6" ht="15.75">
      <c r="A8" s="51">
        <v>4</v>
      </c>
      <c r="B8" s="52"/>
      <c r="C8" s="53" t="s">
        <v>105</v>
      </c>
      <c r="D8" s="54">
        <v>0</v>
      </c>
      <c r="E8" s="55">
        <v>0</v>
      </c>
      <c r="F8" s="47"/>
    </row>
    <row r="9" spans="1:6" ht="15.75">
      <c r="A9" s="51">
        <v>5</v>
      </c>
      <c r="B9" s="52"/>
      <c r="C9" s="53" t="s">
        <v>106</v>
      </c>
      <c r="D9" s="54">
        <v>0</v>
      </c>
      <c r="E9" s="55">
        <v>0</v>
      </c>
      <c r="F9" s="47"/>
    </row>
    <row r="10" spans="1:6" ht="15.75">
      <c r="A10" s="51">
        <v>6</v>
      </c>
      <c r="B10" s="52"/>
      <c r="C10" s="53" t="s">
        <v>107</v>
      </c>
      <c r="D10" s="54">
        <v>0</v>
      </c>
      <c r="E10" s="55">
        <v>0</v>
      </c>
      <c r="F10" s="47"/>
    </row>
    <row r="11" spans="1:6" ht="15.75">
      <c r="A11" s="51">
        <v>7</v>
      </c>
      <c r="B11" s="56" t="s">
        <v>108</v>
      </c>
      <c r="C11" s="53" t="s">
        <v>109</v>
      </c>
      <c r="D11" s="54">
        <v>0</v>
      </c>
      <c r="E11" s="55">
        <v>0</v>
      </c>
      <c r="F11" s="47"/>
    </row>
    <row r="12" spans="1:6" ht="15.75">
      <c r="A12" s="51"/>
      <c r="B12" s="56" t="s">
        <v>110</v>
      </c>
      <c r="C12" s="53" t="s">
        <v>111</v>
      </c>
      <c r="D12" s="54">
        <v>0</v>
      </c>
      <c r="E12" s="55">
        <v>0</v>
      </c>
      <c r="F12" s="47"/>
    </row>
    <row r="13" spans="1:6" ht="15.75">
      <c r="A13" s="51"/>
      <c r="B13" s="56" t="s">
        <v>112</v>
      </c>
      <c r="C13" s="53" t="s">
        <v>113</v>
      </c>
      <c r="D13" s="54">
        <v>0</v>
      </c>
      <c r="E13" s="55">
        <v>0</v>
      </c>
      <c r="F13" s="47"/>
    </row>
    <row r="14" spans="1:6" ht="15.75">
      <c r="A14" s="51">
        <v>8</v>
      </c>
      <c r="B14" s="56" t="s">
        <v>108</v>
      </c>
      <c r="C14" s="53" t="s">
        <v>114</v>
      </c>
      <c r="D14" s="54">
        <v>0</v>
      </c>
      <c r="E14" s="55">
        <v>0</v>
      </c>
      <c r="F14" s="47"/>
    </row>
    <row r="15" spans="1:6" ht="15.75">
      <c r="A15" s="51"/>
      <c r="B15" s="56" t="s">
        <v>110</v>
      </c>
      <c r="C15" s="53" t="s">
        <v>115</v>
      </c>
      <c r="D15" s="54">
        <v>0</v>
      </c>
      <c r="E15" s="55">
        <v>0</v>
      </c>
      <c r="F15" s="47"/>
    </row>
    <row r="16" spans="1:6" ht="15.75">
      <c r="A16" s="51"/>
      <c r="B16" s="56" t="s">
        <v>112</v>
      </c>
      <c r="C16" s="53" t="s">
        <v>116</v>
      </c>
      <c r="D16" s="54">
        <v>0</v>
      </c>
      <c r="E16" s="55">
        <v>0</v>
      </c>
      <c r="F16" s="47"/>
    </row>
    <row r="17" spans="1:12" ht="15.75">
      <c r="A17" s="51"/>
      <c r="B17" s="56" t="s">
        <v>117</v>
      </c>
      <c r="C17" s="53" t="s">
        <v>118</v>
      </c>
      <c r="D17" s="54">
        <v>0</v>
      </c>
      <c r="E17" s="55">
        <v>0</v>
      </c>
      <c r="F17" s="47"/>
    </row>
    <row r="18" spans="1:12" ht="15.75">
      <c r="A18" s="51">
        <v>9</v>
      </c>
      <c r="B18" s="57" t="s">
        <v>108</v>
      </c>
      <c r="C18" s="53" t="s">
        <v>119</v>
      </c>
      <c r="D18" s="54">
        <v>0</v>
      </c>
      <c r="E18" s="55">
        <v>0</v>
      </c>
      <c r="F18" s="47"/>
    </row>
    <row r="19" spans="1:12" ht="15.75">
      <c r="A19" s="51"/>
      <c r="B19" s="56" t="s">
        <v>110</v>
      </c>
      <c r="C19" s="53" t="s">
        <v>120</v>
      </c>
      <c r="D19" s="54">
        <v>0</v>
      </c>
      <c r="E19" s="55">
        <v>0</v>
      </c>
      <c r="F19" s="47"/>
    </row>
    <row r="20" spans="1:12" ht="15.75">
      <c r="A20" s="51">
        <v>10</v>
      </c>
      <c r="B20" s="56" t="s">
        <v>108</v>
      </c>
      <c r="C20" s="53" t="s">
        <v>121</v>
      </c>
      <c r="D20" s="54">
        <f>RAK!F27+POS!G24+PK!G11+GAJI!H17</f>
        <v>122777288</v>
      </c>
      <c r="E20" s="55">
        <v>0</v>
      </c>
      <c r="F20" s="47"/>
    </row>
    <row r="21" spans="1:12" ht="15.75">
      <c r="A21" s="58"/>
      <c r="B21" s="56" t="s">
        <v>110</v>
      </c>
      <c r="C21" s="53" t="s">
        <v>122</v>
      </c>
      <c r="D21" s="54">
        <v>0</v>
      </c>
      <c r="E21" s="47">
        <v>0</v>
      </c>
      <c r="F21" s="47"/>
    </row>
    <row r="22" spans="1:12" ht="15.75">
      <c r="A22" s="47"/>
      <c r="B22" s="47"/>
      <c r="C22" s="59" t="s">
        <v>123</v>
      </c>
      <c r="D22" s="54">
        <f>SUM(D5:D21)</f>
        <v>199017288</v>
      </c>
      <c r="E22" s="55"/>
      <c r="F22" s="47"/>
      <c r="L22" s="70"/>
    </row>
    <row r="23" spans="1:12" ht="15.75">
      <c r="A23" s="47"/>
      <c r="B23" s="47"/>
      <c r="C23" s="53" t="s">
        <v>124</v>
      </c>
      <c r="D23" s="54">
        <v>0</v>
      </c>
      <c r="E23" s="47"/>
      <c r="F23" s="47"/>
      <c r="L23" s="70"/>
    </row>
    <row r="24" spans="1:12" ht="15.75">
      <c r="A24" s="47"/>
      <c r="B24" s="47"/>
      <c r="C24" s="60" t="s">
        <v>125</v>
      </c>
      <c r="D24" s="61">
        <f>D22+D23</f>
        <v>199017288</v>
      </c>
      <c r="E24" s="47"/>
      <c r="F24" s="47"/>
    </row>
    <row r="25" spans="1:12" ht="15.75">
      <c r="A25" s="47"/>
      <c r="B25" s="47"/>
      <c r="C25" s="62" t="s">
        <v>103</v>
      </c>
      <c r="D25" s="54">
        <v>0</v>
      </c>
      <c r="E25" s="47"/>
      <c r="F25" s="47"/>
    </row>
    <row r="26" spans="1:12" ht="15.75">
      <c r="A26" s="47"/>
      <c r="B26" s="47"/>
      <c r="C26" s="62" t="s">
        <v>194</v>
      </c>
      <c r="D26" s="129">
        <v>25000000</v>
      </c>
      <c r="E26" s="47"/>
      <c r="F26" s="47"/>
    </row>
    <row r="27" spans="1:12" ht="15.75">
      <c r="A27" s="47"/>
      <c r="B27" s="47"/>
      <c r="C27" s="62" t="s">
        <v>195</v>
      </c>
      <c r="D27" s="129">
        <v>25000000</v>
      </c>
      <c r="E27" s="47"/>
      <c r="F27" s="47"/>
    </row>
    <row r="28" spans="1:12" ht="15.75">
      <c r="A28" s="47"/>
      <c r="B28" s="47"/>
      <c r="C28" s="60" t="s">
        <v>126</v>
      </c>
      <c r="D28" s="63">
        <f>D24+D27+D26</f>
        <v>249017288</v>
      </c>
      <c r="E28" s="47"/>
      <c r="F28" s="47"/>
    </row>
    <row r="29" spans="1:12" ht="15.75">
      <c r="A29" s="47"/>
      <c r="B29" s="47"/>
      <c r="C29" s="62" t="s">
        <v>188</v>
      </c>
      <c r="D29" s="54">
        <f>D31-D28</f>
        <v>250982712</v>
      </c>
      <c r="E29" s="64"/>
      <c r="F29" s="47"/>
    </row>
    <row r="30" spans="1:12" ht="15.75">
      <c r="A30" s="47"/>
      <c r="B30" s="47"/>
      <c r="C30" s="100" t="s">
        <v>190</v>
      </c>
      <c r="D30" s="101">
        <f>SUM(D28+D29)</f>
        <v>500000000</v>
      </c>
      <c r="E30" s="65"/>
      <c r="F30" s="47"/>
    </row>
    <row r="31" spans="1:12" ht="15.75">
      <c r="A31" s="47"/>
      <c r="B31" s="47"/>
      <c r="C31" s="102" t="s">
        <v>189</v>
      </c>
      <c r="D31" s="103">
        <v>500000000</v>
      </c>
      <c r="E31" s="65"/>
      <c r="F31" s="47"/>
    </row>
    <row r="32" spans="1:12" ht="15.75">
      <c r="A32" s="47"/>
      <c r="B32" s="47"/>
      <c r="C32" s="102" t="s">
        <v>191</v>
      </c>
      <c r="D32" s="103">
        <f>D30+D31</f>
        <v>1000000000</v>
      </c>
      <c r="E32" s="65"/>
      <c r="F32" s="47"/>
    </row>
    <row r="33" spans="1:6" ht="15.75">
      <c r="A33" s="109" t="s">
        <v>127</v>
      </c>
      <c r="B33" s="109"/>
      <c r="C33" s="109"/>
      <c r="D33" s="109"/>
      <c r="E33" s="47"/>
      <c r="F33" s="47"/>
    </row>
    <row r="34" spans="1:6" ht="15.75">
      <c r="A34" s="109" t="s">
        <v>128</v>
      </c>
      <c r="B34" s="109"/>
      <c r="C34" s="109"/>
      <c r="D34" s="109"/>
      <c r="E34" s="47"/>
      <c r="F34" s="47"/>
    </row>
    <row r="35" spans="1:6" ht="15.75">
      <c r="A35" s="47" t="s">
        <v>129</v>
      </c>
      <c r="B35" s="47"/>
      <c r="C35" s="47"/>
      <c r="D35" s="47"/>
      <c r="E35" s="47"/>
      <c r="F35" s="47"/>
    </row>
    <row r="36" spans="1:6" ht="15.75">
      <c r="A36" s="56">
        <v>1</v>
      </c>
      <c r="B36" s="47"/>
      <c r="C36" s="53" t="s">
        <v>130</v>
      </c>
      <c r="D36" s="54">
        <v>250</v>
      </c>
      <c r="E36" s="47"/>
      <c r="F36" s="47"/>
    </row>
    <row r="37" spans="1:6" ht="15.75">
      <c r="A37" s="56">
        <v>2</v>
      </c>
      <c r="B37" s="47"/>
      <c r="C37" s="53" t="s">
        <v>131</v>
      </c>
      <c r="D37" s="54">
        <v>150000</v>
      </c>
      <c r="E37" s="47"/>
      <c r="F37" s="47"/>
    </row>
    <row r="38" spans="1:6" ht="15.75">
      <c r="A38" s="56">
        <v>3</v>
      </c>
      <c r="B38" s="47"/>
      <c r="C38" s="53" t="s">
        <v>132</v>
      </c>
      <c r="D38" s="54">
        <f>D36*D37</f>
        <v>37500000</v>
      </c>
      <c r="E38" s="55"/>
      <c r="F38" s="55"/>
    </row>
    <row r="39" spans="1:6" ht="15.75">
      <c r="A39" s="56">
        <v>4</v>
      </c>
      <c r="B39" s="47"/>
      <c r="C39" s="53" t="s">
        <v>133</v>
      </c>
      <c r="D39" s="54">
        <v>0</v>
      </c>
      <c r="E39" s="55"/>
      <c r="F39" s="55"/>
    </row>
    <row r="40" spans="1:6" ht="15.75">
      <c r="A40" s="47"/>
      <c r="B40" s="47"/>
      <c r="C40" s="53" t="s">
        <v>134</v>
      </c>
      <c r="D40" s="54">
        <f>(D38+D39)*30</f>
        <v>1125000000</v>
      </c>
      <c r="E40" s="55"/>
      <c r="F40" s="55"/>
    </row>
    <row r="41" spans="1:6">
      <c r="A41" s="66"/>
      <c r="B41" s="66"/>
      <c r="C41" s="66"/>
      <c r="D41" s="66"/>
      <c r="E41" s="67"/>
      <c r="F41" s="66"/>
    </row>
    <row r="42" spans="1:6" ht="15.75">
      <c r="A42" s="47" t="s">
        <v>135</v>
      </c>
      <c r="B42" s="47"/>
      <c r="C42" s="47"/>
      <c r="D42" s="47"/>
      <c r="E42" s="47"/>
      <c r="F42" s="47"/>
    </row>
    <row r="43" spans="1:6" ht="15.75">
      <c r="A43" s="56">
        <v>1</v>
      </c>
      <c r="B43" s="47"/>
      <c r="C43" s="53" t="s">
        <v>136</v>
      </c>
      <c r="D43" s="54">
        <f>F43*D40</f>
        <v>56250000</v>
      </c>
      <c r="E43" s="55"/>
      <c r="F43" s="82">
        <v>0.05</v>
      </c>
    </row>
    <row r="44" spans="1:6" ht="15.75">
      <c r="A44" s="56">
        <v>2</v>
      </c>
      <c r="B44" s="47"/>
      <c r="C44" s="53" t="s">
        <v>137</v>
      </c>
      <c r="D44" s="54">
        <v>0</v>
      </c>
      <c r="E44" s="47"/>
      <c r="F44" s="47"/>
    </row>
    <row r="45" spans="1:6" ht="15.75">
      <c r="A45" s="56">
        <v>3</v>
      </c>
      <c r="B45" s="47"/>
      <c r="C45" s="53" t="s">
        <v>138</v>
      </c>
      <c r="D45" s="54">
        <v>0</v>
      </c>
      <c r="E45" s="47"/>
      <c r="F45" s="47"/>
    </row>
    <row r="46" spans="1:6" ht="15.75">
      <c r="A46" s="47"/>
      <c r="B46" s="47"/>
      <c r="C46" s="68" t="s">
        <v>139</v>
      </c>
      <c r="D46" s="54">
        <f>SUM(D43:D45)</f>
        <v>56250000</v>
      </c>
      <c r="E46" s="65"/>
      <c r="F46" s="47"/>
    </row>
    <row r="47" spans="1:6" ht="15.75">
      <c r="A47" s="47"/>
      <c r="B47" s="47"/>
      <c r="C47" s="47"/>
      <c r="D47" s="47"/>
      <c r="E47" s="47"/>
      <c r="F47" s="47"/>
    </row>
    <row r="48" spans="1:6" ht="15.75">
      <c r="A48" s="47" t="s">
        <v>140</v>
      </c>
      <c r="B48" s="47"/>
      <c r="C48" s="47"/>
      <c r="D48" s="51" t="s">
        <v>127</v>
      </c>
      <c r="E48" s="47"/>
      <c r="F48" s="47"/>
    </row>
    <row r="49" spans="1:10" ht="15.75">
      <c r="A49" s="47"/>
      <c r="B49" s="47"/>
      <c r="C49" s="47"/>
      <c r="D49" s="51" t="s">
        <v>141</v>
      </c>
      <c r="E49" s="47"/>
      <c r="F49" s="47"/>
    </row>
    <row r="50" spans="1:10" ht="15.75">
      <c r="A50" s="56">
        <v>1</v>
      </c>
      <c r="B50" s="47"/>
      <c r="C50" s="53" t="s">
        <v>142</v>
      </c>
      <c r="D50" s="54">
        <v>0</v>
      </c>
      <c r="E50" s="47"/>
      <c r="F50" s="47"/>
    </row>
    <row r="51" spans="1:10" ht="15.75">
      <c r="A51" s="56"/>
      <c r="B51" s="47"/>
      <c r="C51" s="69" t="s">
        <v>143</v>
      </c>
      <c r="D51" s="54">
        <f>D40*0.1%</f>
        <v>1125000</v>
      </c>
      <c r="E51" s="47"/>
      <c r="F51" s="47"/>
    </row>
    <row r="52" spans="1:10" ht="15.75">
      <c r="A52" s="56"/>
      <c r="B52" s="47"/>
      <c r="C52" s="69" t="s">
        <v>144</v>
      </c>
      <c r="D52" s="54">
        <v>0</v>
      </c>
      <c r="E52" s="47"/>
      <c r="F52" s="47"/>
      <c r="J52" s="70"/>
    </row>
    <row r="53" spans="1:10" ht="15.75">
      <c r="A53" s="56"/>
      <c r="B53" s="47"/>
      <c r="C53" s="69" t="s">
        <v>145</v>
      </c>
      <c r="D53" s="54">
        <f>D40*0.2%</f>
        <v>2250000</v>
      </c>
      <c r="E53" s="55"/>
      <c r="F53" s="71"/>
    </row>
    <row r="54" spans="1:10" ht="15.75">
      <c r="A54" s="56"/>
      <c r="B54" s="47"/>
      <c r="C54" s="69" t="s">
        <v>146</v>
      </c>
      <c r="D54" s="54">
        <v>1500000</v>
      </c>
      <c r="E54" s="55"/>
      <c r="F54" s="71"/>
    </row>
    <row r="55" spans="1:10" ht="15.75">
      <c r="A55" s="56"/>
      <c r="B55" s="47"/>
      <c r="C55" s="69" t="s">
        <v>147</v>
      </c>
      <c r="D55" s="54">
        <v>1000000</v>
      </c>
      <c r="E55" s="55"/>
      <c r="F55" s="71"/>
    </row>
    <row r="56" spans="1:10" ht="15.75">
      <c r="A56" s="56"/>
      <c r="B56" s="47"/>
      <c r="C56" s="69" t="s">
        <v>148</v>
      </c>
      <c r="D56" s="54">
        <v>500000</v>
      </c>
      <c r="E56" s="55"/>
      <c r="F56" s="71"/>
    </row>
    <row r="57" spans="1:10" ht="15.75">
      <c r="A57" s="56">
        <v>2</v>
      </c>
      <c r="B57" s="47"/>
      <c r="C57" s="53" t="s">
        <v>149</v>
      </c>
      <c r="D57" s="54">
        <f>GAJI!H17</f>
        <v>22862288</v>
      </c>
      <c r="E57" s="65"/>
      <c r="F57" s="71"/>
    </row>
    <row r="58" spans="1:10" ht="15.75">
      <c r="A58" s="56">
        <v>3</v>
      </c>
      <c r="B58" s="47"/>
      <c r="C58" s="53" t="s">
        <v>150</v>
      </c>
      <c r="D58" s="54">
        <f>D46*60%*10%</f>
        <v>3375000</v>
      </c>
      <c r="E58" s="47"/>
      <c r="F58" s="71"/>
    </row>
    <row r="59" spans="1:10" ht="15.75">
      <c r="A59" s="47"/>
      <c r="B59" s="47"/>
      <c r="C59" s="69" t="s">
        <v>151</v>
      </c>
      <c r="D59" s="54">
        <f>D40*0.1%</f>
        <v>1125000</v>
      </c>
      <c r="E59" s="47"/>
      <c r="F59" s="47"/>
    </row>
    <row r="60" spans="1:10" ht="15.75">
      <c r="A60" s="47"/>
      <c r="B60" s="47"/>
      <c r="C60" s="53" t="s">
        <v>152</v>
      </c>
      <c r="D60" s="54">
        <v>1500000</v>
      </c>
      <c r="E60" s="47"/>
      <c r="F60" s="47"/>
    </row>
    <row r="61" spans="1:10" ht="15.75">
      <c r="A61" s="47"/>
      <c r="B61" s="47"/>
      <c r="C61" s="69" t="s">
        <v>153</v>
      </c>
      <c r="D61" s="72">
        <f>0.15%*D40</f>
        <v>1687500</v>
      </c>
      <c r="E61" s="47"/>
      <c r="F61" s="47"/>
    </row>
    <row r="62" spans="1:10" ht="15.75">
      <c r="A62" s="47"/>
      <c r="B62" s="47"/>
      <c r="C62" s="59" t="s">
        <v>154</v>
      </c>
      <c r="D62" s="73">
        <f>SUM(D50:D61)</f>
        <v>36924788</v>
      </c>
      <c r="E62" s="74"/>
    </row>
    <row r="63" spans="1:10" ht="15.75">
      <c r="A63" s="47"/>
      <c r="B63" s="47"/>
      <c r="C63" s="75"/>
      <c r="D63" s="76"/>
      <c r="E63" s="77"/>
      <c r="F63" s="78"/>
    </row>
    <row r="64" spans="1:10" ht="15.75">
      <c r="A64" s="47">
        <v>5</v>
      </c>
      <c r="B64" s="47"/>
      <c r="C64" s="52" t="s">
        <v>155</v>
      </c>
      <c r="D64" s="55">
        <f>D46-D62</f>
        <v>19325212</v>
      </c>
      <c r="E64" s="74"/>
      <c r="F64" s="78"/>
    </row>
    <row r="65" spans="1:6" ht="15.75">
      <c r="A65" s="47"/>
      <c r="B65" s="47"/>
      <c r="C65" s="75" t="s">
        <v>156</v>
      </c>
      <c r="D65" s="55">
        <f>D64*50%</f>
        <v>9662606</v>
      </c>
      <c r="E65" s="74"/>
      <c r="F65" s="78"/>
    </row>
    <row r="66" spans="1:6" ht="15.75">
      <c r="A66" s="47"/>
      <c r="B66" s="47"/>
      <c r="C66" s="47"/>
      <c r="D66" s="47"/>
      <c r="E66" s="47"/>
      <c r="F66" s="47"/>
    </row>
    <row r="67" spans="1:6" ht="15.75">
      <c r="A67" s="47" t="s">
        <v>157</v>
      </c>
      <c r="B67" s="47"/>
      <c r="C67" s="47"/>
      <c r="D67" s="47"/>
      <c r="E67" s="47"/>
      <c r="F67" s="47"/>
    </row>
    <row r="68" spans="1:6" ht="15.75">
      <c r="A68" s="47"/>
      <c r="B68" s="47"/>
      <c r="C68" s="110" t="s">
        <v>158</v>
      </c>
      <c r="D68" s="112">
        <f>D65</f>
        <v>9662606</v>
      </c>
      <c r="E68" s="104" t="s">
        <v>159</v>
      </c>
      <c r="F68" s="79"/>
    </row>
    <row r="69" spans="1:6" ht="15.75">
      <c r="A69" s="47"/>
      <c r="B69" s="47"/>
      <c r="C69" s="111"/>
      <c r="D69" s="113"/>
      <c r="E69" s="105">
        <f>D30/D68</f>
        <v>51.745874767117691</v>
      </c>
      <c r="F69" s="80"/>
    </row>
    <row r="70" spans="1:6">
      <c r="F70" s="66"/>
    </row>
    <row r="71" spans="1:6">
      <c r="A71" s="81"/>
      <c r="B71" s="81"/>
      <c r="C71" s="106" t="s">
        <v>160</v>
      </c>
      <c r="D71" s="106"/>
      <c r="E71" s="106"/>
      <c r="F71" s="106"/>
    </row>
    <row r="72" spans="1:6">
      <c r="A72" s="81"/>
      <c r="B72" s="81"/>
      <c r="C72" s="106" t="s">
        <v>161</v>
      </c>
      <c r="D72" s="106"/>
      <c r="E72" s="106"/>
      <c r="F72" s="106"/>
    </row>
    <row r="73" spans="1:6">
      <c r="A73" s="81"/>
      <c r="B73" s="81"/>
      <c r="C73" s="106" t="s">
        <v>162</v>
      </c>
      <c r="D73" s="106"/>
      <c r="E73" s="106"/>
      <c r="F73" s="66"/>
    </row>
    <row r="75" spans="1:6">
      <c r="C75" s="66" t="s">
        <v>163</v>
      </c>
    </row>
  </sheetData>
  <mergeCells count="9">
    <mergeCell ref="C71:F71"/>
    <mergeCell ref="C72:F72"/>
    <mergeCell ref="C73:E73"/>
    <mergeCell ref="A1:E1"/>
    <mergeCell ref="A2:E2"/>
    <mergeCell ref="A33:D33"/>
    <mergeCell ref="A34:D34"/>
    <mergeCell ref="C68:C69"/>
    <mergeCell ref="D68:D69"/>
  </mergeCells>
  <pageMargins left="0.67" right="0.22" top="0.47" bottom="0.41" header="0.3" footer="0.3"/>
  <pageSetup paperSize="139" scale="85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A785-8A48-469D-8DD0-D9CF81A6D25D}">
  <dimension ref="A1:K102"/>
  <sheetViews>
    <sheetView topLeftCell="M34" workbookViewId="0">
      <selection sqref="A1:F1"/>
    </sheetView>
  </sheetViews>
  <sheetFormatPr defaultColWidth="14.42578125" defaultRowHeight="15" customHeight="1"/>
  <cols>
    <col min="1" max="1" width="4.7109375" style="83" customWidth="1"/>
    <col min="2" max="2" width="48.7109375" style="83" customWidth="1"/>
    <col min="3" max="3" width="6.28515625" style="83" customWidth="1"/>
    <col min="4" max="4" width="8.28515625" style="83" customWidth="1"/>
    <col min="5" max="6" width="16.140625" style="83" customWidth="1"/>
    <col min="7" max="19" width="8.7109375" style="83" customWidth="1"/>
    <col min="20" max="16384" width="14.42578125" style="83"/>
  </cols>
  <sheetData>
    <row r="1" spans="1:6" ht="15.75">
      <c r="A1" s="121" t="s">
        <v>192</v>
      </c>
      <c r="B1" s="122"/>
      <c r="C1" s="122"/>
      <c r="D1" s="122"/>
      <c r="E1" s="122"/>
      <c r="F1" s="122"/>
    </row>
    <row r="3" spans="1:6" ht="14.25"/>
    <row r="4" spans="1:6">
      <c r="A4" s="123" t="s">
        <v>0</v>
      </c>
      <c r="B4" s="123" t="s">
        <v>1</v>
      </c>
      <c r="C4" s="123" t="s">
        <v>2</v>
      </c>
      <c r="D4" s="123" t="s">
        <v>3</v>
      </c>
      <c r="E4" s="125" t="s">
        <v>184</v>
      </c>
      <c r="F4" s="126"/>
    </row>
    <row r="5" spans="1:6" ht="14.25">
      <c r="A5" s="124"/>
      <c r="B5" s="124"/>
      <c r="C5" s="124"/>
      <c r="D5" s="124"/>
      <c r="E5" s="84" t="s">
        <v>4</v>
      </c>
      <c r="F5" s="84" t="s">
        <v>5</v>
      </c>
    </row>
    <row r="6" spans="1:6" s="88" customFormat="1" ht="18" customHeight="1">
      <c r="A6" s="85">
        <v>1</v>
      </c>
      <c r="B6" s="86" t="s">
        <v>164</v>
      </c>
      <c r="C6" s="85">
        <v>5</v>
      </c>
      <c r="D6" s="85" t="s">
        <v>6</v>
      </c>
      <c r="E6" s="87">
        <v>700000</v>
      </c>
      <c r="F6" s="87">
        <f t="shared" ref="F6:F7" si="0">C6*E6</f>
        <v>3500000</v>
      </c>
    </row>
    <row r="7" spans="1:6" s="88" customFormat="1" ht="18" customHeight="1">
      <c r="A7" s="85">
        <v>2</v>
      </c>
      <c r="B7" s="86" t="s">
        <v>165</v>
      </c>
      <c r="C7" s="117">
        <v>1</v>
      </c>
      <c r="D7" s="117" t="s">
        <v>7</v>
      </c>
      <c r="E7" s="120">
        <v>10000000</v>
      </c>
      <c r="F7" s="120">
        <f t="shared" si="0"/>
        <v>10000000</v>
      </c>
    </row>
    <row r="8" spans="1:6" s="88" customFormat="1" ht="18" customHeight="1">
      <c r="A8" s="85">
        <v>3</v>
      </c>
      <c r="B8" s="86" t="s">
        <v>166</v>
      </c>
      <c r="C8" s="118"/>
      <c r="D8" s="118"/>
      <c r="E8" s="118"/>
      <c r="F8" s="118"/>
    </row>
    <row r="9" spans="1:6" s="88" customFormat="1" ht="18" customHeight="1">
      <c r="A9" s="85">
        <v>4</v>
      </c>
      <c r="B9" s="86" t="s">
        <v>167</v>
      </c>
      <c r="C9" s="119"/>
      <c r="D9" s="119"/>
      <c r="E9" s="119"/>
      <c r="F9" s="119"/>
    </row>
    <row r="10" spans="1:6" s="88" customFormat="1" ht="18" customHeight="1">
      <c r="A10" s="85">
        <v>5</v>
      </c>
      <c r="B10" s="86" t="s">
        <v>168</v>
      </c>
      <c r="C10" s="85">
        <v>3</v>
      </c>
      <c r="D10" s="85" t="s">
        <v>7</v>
      </c>
      <c r="E10" s="87">
        <v>750000</v>
      </c>
      <c r="F10" s="87">
        <f t="shared" ref="F10:F28" si="1">C10*E10</f>
        <v>2250000</v>
      </c>
    </row>
    <row r="11" spans="1:6" s="88" customFormat="1" ht="18" customHeight="1">
      <c r="A11" s="85">
        <v>6</v>
      </c>
      <c r="B11" s="86" t="s">
        <v>169</v>
      </c>
      <c r="C11" s="85">
        <v>11</v>
      </c>
      <c r="D11" s="85" t="s">
        <v>7</v>
      </c>
      <c r="E11" s="87">
        <v>700000</v>
      </c>
      <c r="F11" s="87">
        <f t="shared" si="1"/>
        <v>7700000</v>
      </c>
    </row>
    <row r="12" spans="1:6" s="88" customFormat="1" ht="18" customHeight="1">
      <c r="A12" s="85">
        <v>7</v>
      </c>
      <c r="B12" s="86" t="s">
        <v>170</v>
      </c>
      <c r="C12" s="85">
        <v>4</v>
      </c>
      <c r="D12" s="85" t="s">
        <v>7</v>
      </c>
      <c r="E12" s="87">
        <v>1000000</v>
      </c>
      <c r="F12" s="87">
        <f t="shared" si="1"/>
        <v>4000000</v>
      </c>
    </row>
    <row r="13" spans="1:6" s="88" customFormat="1" ht="18" customHeight="1">
      <c r="A13" s="85">
        <v>8</v>
      </c>
      <c r="B13" s="86" t="s">
        <v>171</v>
      </c>
      <c r="C13" s="85">
        <v>8</v>
      </c>
      <c r="D13" s="85" t="s">
        <v>7</v>
      </c>
      <c r="E13" s="87">
        <v>900000</v>
      </c>
      <c r="F13" s="87">
        <f t="shared" si="1"/>
        <v>7200000</v>
      </c>
    </row>
    <row r="14" spans="1:6" s="88" customFormat="1" ht="18" customHeight="1">
      <c r="A14" s="85">
        <v>9</v>
      </c>
      <c r="B14" s="86" t="s">
        <v>172</v>
      </c>
      <c r="C14" s="85">
        <v>8</v>
      </c>
      <c r="D14" s="85" t="s">
        <v>7</v>
      </c>
      <c r="E14" s="87">
        <v>700000</v>
      </c>
      <c r="F14" s="87">
        <f t="shared" si="1"/>
        <v>5600000</v>
      </c>
    </row>
    <row r="15" spans="1:6" s="88" customFormat="1" ht="18" customHeight="1">
      <c r="A15" s="85">
        <v>10</v>
      </c>
      <c r="B15" s="86" t="s">
        <v>173</v>
      </c>
      <c r="C15" s="85">
        <v>64</v>
      </c>
      <c r="D15" s="85" t="s">
        <v>7</v>
      </c>
      <c r="E15" s="87">
        <v>85000</v>
      </c>
      <c r="F15" s="87">
        <f t="shared" si="1"/>
        <v>5440000</v>
      </c>
    </row>
    <row r="16" spans="1:6" s="88" customFormat="1" ht="18" customHeight="1">
      <c r="A16" s="85">
        <v>11</v>
      </c>
      <c r="B16" s="89" t="s">
        <v>8</v>
      </c>
      <c r="C16" s="85">
        <v>15</v>
      </c>
      <c r="D16" s="85" t="s">
        <v>6</v>
      </c>
      <c r="E16" s="87">
        <v>200000</v>
      </c>
      <c r="F16" s="87">
        <f t="shared" si="1"/>
        <v>3000000</v>
      </c>
    </row>
    <row r="17" spans="1:11" s="88" customFormat="1" ht="18" customHeight="1">
      <c r="A17" s="85">
        <v>12</v>
      </c>
      <c r="B17" s="89" t="s">
        <v>9</v>
      </c>
      <c r="C17" s="85">
        <v>276</v>
      </c>
      <c r="D17" s="85" t="s">
        <v>6</v>
      </c>
      <c r="E17" s="87">
        <v>9500</v>
      </c>
      <c r="F17" s="87">
        <f t="shared" si="1"/>
        <v>2622000</v>
      </c>
    </row>
    <row r="18" spans="1:11" s="88" customFormat="1" ht="18" customHeight="1">
      <c r="A18" s="85">
        <v>13</v>
      </c>
      <c r="B18" s="86" t="s">
        <v>174</v>
      </c>
      <c r="C18" s="85">
        <v>60</v>
      </c>
      <c r="D18" s="85" t="s">
        <v>6</v>
      </c>
      <c r="E18" s="87">
        <v>5000</v>
      </c>
      <c r="F18" s="87">
        <f t="shared" si="1"/>
        <v>300000</v>
      </c>
    </row>
    <row r="19" spans="1:11" s="88" customFormat="1" ht="18" customHeight="1">
      <c r="A19" s="85">
        <v>14</v>
      </c>
      <c r="B19" s="86" t="s">
        <v>10</v>
      </c>
      <c r="C19" s="85">
        <v>8</v>
      </c>
      <c r="D19" s="85" t="s">
        <v>6</v>
      </c>
      <c r="E19" s="87">
        <v>88000</v>
      </c>
      <c r="F19" s="87">
        <f t="shared" si="1"/>
        <v>704000</v>
      </c>
    </row>
    <row r="20" spans="1:11" s="88" customFormat="1" ht="18" customHeight="1">
      <c r="A20" s="85">
        <v>15</v>
      </c>
      <c r="B20" s="86" t="s">
        <v>11</v>
      </c>
      <c r="C20" s="85">
        <v>5</v>
      </c>
      <c r="D20" s="85" t="s">
        <v>6</v>
      </c>
      <c r="E20" s="87">
        <v>15000</v>
      </c>
      <c r="F20" s="87">
        <f t="shared" si="1"/>
        <v>75000</v>
      </c>
    </row>
    <row r="21" spans="1:11" s="88" customFormat="1" ht="18" customHeight="1">
      <c r="A21" s="85">
        <v>16</v>
      </c>
      <c r="B21" s="89" t="s">
        <v>175</v>
      </c>
      <c r="C21" s="85">
        <v>20</v>
      </c>
      <c r="D21" s="85" t="s">
        <v>6</v>
      </c>
      <c r="E21" s="87">
        <v>40000</v>
      </c>
      <c r="F21" s="87">
        <f t="shared" si="1"/>
        <v>800000</v>
      </c>
    </row>
    <row r="22" spans="1:11" s="88" customFormat="1" ht="18" customHeight="1">
      <c r="A22" s="85">
        <v>17</v>
      </c>
      <c r="B22" s="86" t="s">
        <v>176</v>
      </c>
      <c r="C22" s="85">
        <v>95</v>
      </c>
      <c r="D22" s="85" t="s">
        <v>6</v>
      </c>
      <c r="E22" s="87">
        <v>20000</v>
      </c>
      <c r="F22" s="87">
        <f t="shared" si="1"/>
        <v>1900000</v>
      </c>
    </row>
    <row r="23" spans="1:11" s="88" customFormat="1" ht="18" customHeight="1">
      <c r="A23" s="85">
        <v>18</v>
      </c>
      <c r="B23" s="89" t="s">
        <v>12</v>
      </c>
      <c r="C23" s="85">
        <v>3</v>
      </c>
      <c r="D23" s="85" t="s">
        <v>6</v>
      </c>
      <c r="E23" s="87">
        <v>1050000</v>
      </c>
      <c r="F23" s="87">
        <f t="shared" si="1"/>
        <v>3150000</v>
      </c>
    </row>
    <row r="24" spans="1:11" s="88" customFormat="1" ht="18" customHeight="1">
      <c r="A24" s="85">
        <v>19</v>
      </c>
      <c r="B24" s="86" t="s">
        <v>177</v>
      </c>
      <c r="C24" s="85">
        <v>3</v>
      </c>
      <c r="D24" s="85" t="s">
        <v>6</v>
      </c>
      <c r="E24" s="87">
        <v>7500000</v>
      </c>
      <c r="F24" s="87">
        <f t="shared" si="1"/>
        <v>22500000</v>
      </c>
    </row>
    <row r="25" spans="1:11" s="88" customFormat="1" ht="18" customHeight="1">
      <c r="A25" s="90">
        <v>20</v>
      </c>
      <c r="B25" s="91" t="s">
        <v>13</v>
      </c>
      <c r="C25" s="90">
        <v>2</v>
      </c>
      <c r="D25" s="90" t="s">
        <v>6</v>
      </c>
      <c r="E25" s="92">
        <v>175000</v>
      </c>
      <c r="F25" s="92">
        <f>C25*E25</f>
        <v>350000</v>
      </c>
    </row>
    <row r="26" spans="1:11" s="88" customFormat="1" ht="18" customHeight="1">
      <c r="A26" s="93">
        <v>21</v>
      </c>
      <c r="B26" s="94" t="s">
        <v>14</v>
      </c>
      <c r="C26" s="93">
        <v>1</v>
      </c>
      <c r="D26" s="93" t="s">
        <v>6</v>
      </c>
      <c r="E26" s="95">
        <v>230000</v>
      </c>
      <c r="F26" s="96">
        <f t="shared" si="1"/>
        <v>230000</v>
      </c>
    </row>
    <row r="27" spans="1:11" s="88" customFormat="1" ht="18" customHeight="1">
      <c r="A27" s="93">
        <v>22</v>
      </c>
      <c r="B27" s="94" t="s">
        <v>178</v>
      </c>
      <c r="C27" s="93">
        <v>20</v>
      </c>
      <c r="D27" s="93" t="s">
        <v>6</v>
      </c>
      <c r="E27" s="95">
        <v>150000</v>
      </c>
      <c r="F27" s="96">
        <f t="shared" si="1"/>
        <v>3000000</v>
      </c>
    </row>
    <row r="28" spans="1:11" s="88" customFormat="1" ht="18" customHeight="1">
      <c r="A28" s="93">
        <v>23</v>
      </c>
      <c r="B28" s="94" t="s">
        <v>179</v>
      </c>
      <c r="C28" s="93">
        <v>15</v>
      </c>
      <c r="D28" s="93" t="s">
        <v>6</v>
      </c>
      <c r="E28" s="95">
        <v>120000</v>
      </c>
      <c r="F28" s="96">
        <f t="shared" si="1"/>
        <v>1800000</v>
      </c>
    </row>
    <row r="29" spans="1:11" s="88" customFormat="1" ht="18" customHeight="1">
      <c r="A29" s="114" t="s">
        <v>5</v>
      </c>
      <c r="B29" s="115"/>
      <c r="C29" s="115"/>
      <c r="D29" s="116"/>
      <c r="E29" s="97"/>
      <c r="F29" s="98">
        <f>SUM(F6:F28)</f>
        <v>86121000</v>
      </c>
    </row>
    <row r="30" spans="1:11" ht="15.75" customHeight="1">
      <c r="A30" s="99"/>
    </row>
    <row r="31" spans="1:11" ht="15.75" customHeight="1">
      <c r="A31" s="99"/>
    </row>
    <row r="32" spans="1:11" ht="15.75" customHeight="1">
      <c r="H32" s="83" t="s">
        <v>180</v>
      </c>
      <c r="I32" s="83">
        <v>14</v>
      </c>
      <c r="J32" s="83">
        <v>6</v>
      </c>
      <c r="K32" s="83">
        <f t="shared" ref="K32:K34" si="2">J32*I32</f>
        <v>84</v>
      </c>
    </row>
    <row r="33" spans="8:11" ht="15.75" customHeight="1">
      <c r="H33" s="83" t="s">
        <v>181</v>
      </c>
      <c r="I33" s="83">
        <v>24</v>
      </c>
      <c r="J33" s="83">
        <v>6</v>
      </c>
      <c r="K33" s="83">
        <f t="shared" si="2"/>
        <v>144</v>
      </c>
    </row>
    <row r="34" spans="8:11" ht="15.75" customHeight="1">
      <c r="H34" s="83" t="s">
        <v>182</v>
      </c>
      <c r="I34" s="83">
        <v>8</v>
      </c>
      <c r="J34" s="83">
        <v>6</v>
      </c>
      <c r="K34" s="83">
        <f t="shared" si="2"/>
        <v>48</v>
      </c>
    </row>
    <row r="35" spans="8:11" ht="15.75" customHeight="1">
      <c r="K35" s="83">
        <f>SUM(K32:K34)</f>
        <v>276</v>
      </c>
    </row>
    <row r="36" spans="8:11" ht="15.75" customHeight="1"/>
    <row r="37" spans="8:11" ht="15.75" customHeight="1"/>
    <row r="38" spans="8:11" ht="15.75" customHeight="1"/>
    <row r="39" spans="8:11" ht="15.75" customHeight="1"/>
    <row r="40" spans="8:11" ht="15.75" customHeight="1"/>
    <row r="41" spans="8:11" ht="15.75" customHeight="1"/>
    <row r="42" spans="8:11" ht="15.75" customHeight="1"/>
    <row r="43" spans="8:11" ht="15.75" customHeight="1"/>
    <row r="44" spans="8:11" ht="15.75" customHeight="1"/>
    <row r="45" spans="8:11" ht="15.75" customHeight="1"/>
    <row r="46" spans="8:11" ht="15.75" customHeight="1"/>
    <row r="47" spans="8:11" ht="15.75" customHeight="1"/>
    <row r="48" spans="8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1">
    <mergeCell ref="A1:F1"/>
    <mergeCell ref="A4:A5"/>
    <mergeCell ref="B4:B5"/>
    <mergeCell ref="C4:C5"/>
    <mergeCell ref="D4:D5"/>
    <mergeCell ref="E4:F4"/>
    <mergeCell ref="A29:D29"/>
    <mergeCell ref="C7:C9"/>
    <mergeCell ref="D7:D9"/>
    <mergeCell ref="E7:E9"/>
    <mergeCell ref="F7:F9"/>
  </mergeCells>
  <pageMargins left="0.25" right="0.17" top="0.75" bottom="0.75" header="0.3" footer="0.3"/>
  <pageSetup paperSize="139" scale="73" orientation="landscape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F6E4-F038-49AF-8785-79D4E4617342}">
  <dimension ref="A1:J24"/>
  <sheetViews>
    <sheetView topLeftCell="A5" workbookViewId="0">
      <selection activeCell="H12" sqref="H12"/>
    </sheetView>
  </sheetViews>
  <sheetFormatPr defaultColWidth="8.85546875" defaultRowHeight="14.25"/>
  <cols>
    <col min="1" max="1" width="3" style="1" customWidth="1"/>
    <col min="2" max="2" width="5.28515625" style="1" customWidth="1"/>
    <col min="3" max="3" width="27.85546875" style="1" customWidth="1"/>
    <col min="4" max="4" width="43.28515625" style="1" customWidth="1"/>
    <col min="5" max="5" width="6.7109375" style="1" customWidth="1"/>
    <col min="6" max="7" width="17.42578125" style="13" customWidth="1"/>
    <col min="8" max="8" width="28.28515625" style="1" customWidth="1"/>
    <col min="9" max="9" width="15.28515625" style="1" customWidth="1"/>
    <col min="10" max="10" width="21.85546875" style="1" customWidth="1"/>
    <col min="11" max="16384" width="8.85546875" style="1"/>
  </cols>
  <sheetData>
    <row r="1" spans="1:10" ht="15.75">
      <c r="B1" s="127" t="s">
        <v>15</v>
      </c>
      <c r="C1" s="127"/>
      <c r="D1" s="127"/>
      <c r="E1" s="127"/>
      <c r="F1" s="127"/>
      <c r="G1" s="127"/>
    </row>
    <row r="2" spans="1:10" ht="15">
      <c r="B2" s="4"/>
      <c r="C2" s="4"/>
      <c r="D2" s="4" t="s">
        <v>16</v>
      </c>
      <c r="E2" s="5"/>
      <c r="F2" s="5"/>
      <c r="G2" s="5"/>
    </row>
    <row r="3" spans="1:10" ht="15.75">
      <c r="B3" s="6" t="s">
        <v>0</v>
      </c>
      <c r="C3" s="6" t="s">
        <v>17</v>
      </c>
      <c r="D3" s="6" t="s">
        <v>18</v>
      </c>
      <c r="E3" s="7" t="s">
        <v>2</v>
      </c>
      <c r="F3" s="7" t="s">
        <v>19</v>
      </c>
      <c r="G3" s="7" t="s">
        <v>5</v>
      </c>
    </row>
    <row r="4" spans="1:10" ht="15">
      <c r="A4" s="8"/>
      <c r="B4" s="9">
        <v>1</v>
      </c>
      <c r="C4" s="10" t="s">
        <v>20</v>
      </c>
      <c r="D4" s="10" t="s">
        <v>21</v>
      </c>
      <c r="E4" s="11">
        <v>1</v>
      </c>
      <c r="F4" s="12">
        <v>2300000</v>
      </c>
      <c r="G4" s="12">
        <f t="shared" ref="G4:G23" si="0">E4*F4</f>
        <v>2300000</v>
      </c>
      <c r="I4" s="13"/>
      <c r="J4" s="13"/>
    </row>
    <row r="5" spans="1:10" ht="15">
      <c r="A5" s="8"/>
      <c r="B5" s="9">
        <f>B4+1</f>
        <v>2</v>
      </c>
      <c r="C5" s="14" t="s">
        <v>22</v>
      </c>
      <c r="D5" s="14" t="s">
        <v>23</v>
      </c>
      <c r="E5" s="11">
        <v>2</v>
      </c>
      <c r="F5" s="15">
        <v>5500000</v>
      </c>
      <c r="G5" s="15">
        <f t="shared" si="0"/>
        <v>11000000</v>
      </c>
      <c r="H5" s="16"/>
      <c r="I5" s="13"/>
      <c r="J5" s="13"/>
    </row>
    <row r="6" spans="1:10" ht="15">
      <c r="A6" s="8"/>
      <c r="B6" s="9">
        <v>3</v>
      </c>
      <c r="C6" s="14" t="s">
        <v>22</v>
      </c>
      <c r="D6" s="14" t="s">
        <v>24</v>
      </c>
      <c r="E6" s="11">
        <v>1</v>
      </c>
      <c r="F6" s="15">
        <v>5000000</v>
      </c>
      <c r="G6" s="15">
        <f t="shared" si="0"/>
        <v>5000000</v>
      </c>
      <c r="H6" s="16"/>
      <c r="I6" s="13"/>
      <c r="J6" s="13"/>
    </row>
    <row r="7" spans="1:10" ht="15">
      <c r="A7" s="8"/>
      <c r="B7" s="9">
        <f>B5+1</f>
        <v>3</v>
      </c>
      <c r="C7" s="17" t="s">
        <v>25</v>
      </c>
      <c r="D7" s="17" t="s">
        <v>26</v>
      </c>
      <c r="E7" s="11">
        <v>2</v>
      </c>
      <c r="F7" s="12">
        <v>950000</v>
      </c>
      <c r="G7" s="12">
        <f t="shared" si="0"/>
        <v>1900000</v>
      </c>
      <c r="I7" s="13"/>
      <c r="J7" s="13"/>
    </row>
    <row r="8" spans="1:10" ht="15">
      <c r="A8" s="8"/>
      <c r="B8" s="9">
        <f t="shared" ref="B8:B22" si="1">B7+1</f>
        <v>4</v>
      </c>
      <c r="C8" s="10" t="s">
        <v>27</v>
      </c>
      <c r="D8" s="10" t="s">
        <v>28</v>
      </c>
      <c r="E8" s="11">
        <v>2</v>
      </c>
      <c r="F8" s="12">
        <v>1200000</v>
      </c>
      <c r="G8" s="12">
        <f t="shared" si="0"/>
        <v>2400000</v>
      </c>
      <c r="I8" s="13"/>
      <c r="J8" s="13"/>
    </row>
    <row r="9" spans="1:10" ht="15">
      <c r="A9" s="8"/>
      <c r="B9" s="18">
        <f t="shared" si="1"/>
        <v>5</v>
      </c>
      <c r="C9" s="19" t="s">
        <v>29</v>
      </c>
      <c r="D9" s="19" t="s">
        <v>30</v>
      </c>
      <c r="E9" s="20">
        <v>2</v>
      </c>
      <c r="F9" s="21">
        <v>950000</v>
      </c>
      <c r="G9" s="21">
        <f t="shared" si="0"/>
        <v>1900000</v>
      </c>
      <c r="I9" s="13"/>
      <c r="J9" s="13"/>
    </row>
    <row r="10" spans="1:10" ht="15">
      <c r="A10" s="8"/>
      <c r="B10" s="9">
        <f t="shared" si="1"/>
        <v>6</v>
      </c>
      <c r="C10" s="17" t="s">
        <v>31</v>
      </c>
      <c r="D10" s="17" t="s">
        <v>32</v>
      </c>
      <c r="E10" s="11">
        <v>1</v>
      </c>
      <c r="F10" s="12">
        <v>2500000</v>
      </c>
      <c r="G10" s="12">
        <f t="shared" si="0"/>
        <v>2500000</v>
      </c>
      <c r="I10" s="13"/>
      <c r="J10" s="13"/>
    </row>
    <row r="11" spans="1:10" ht="15">
      <c r="A11" s="8"/>
      <c r="B11" s="9">
        <f t="shared" si="1"/>
        <v>7</v>
      </c>
      <c r="C11" s="10" t="s">
        <v>33</v>
      </c>
      <c r="D11" s="10" t="s">
        <v>34</v>
      </c>
      <c r="E11" s="11">
        <v>1</v>
      </c>
      <c r="F11" s="12">
        <v>750000</v>
      </c>
      <c r="G11" s="12">
        <f t="shared" si="0"/>
        <v>750000</v>
      </c>
      <c r="I11" s="13"/>
      <c r="J11" s="13"/>
    </row>
    <row r="12" spans="1:10" ht="15">
      <c r="A12" s="8"/>
      <c r="B12" s="9">
        <f t="shared" si="1"/>
        <v>8</v>
      </c>
      <c r="C12" s="10" t="s">
        <v>35</v>
      </c>
      <c r="D12" s="10" t="s">
        <v>30</v>
      </c>
      <c r="E12" s="11">
        <v>2</v>
      </c>
      <c r="F12" s="12">
        <v>225000</v>
      </c>
      <c r="G12" s="12">
        <f t="shared" si="0"/>
        <v>450000</v>
      </c>
      <c r="I12" s="13"/>
      <c r="J12" s="13"/>
    </row>
    <row r="13" spans="1:10" ht="15">
      <c r="A13" s="8"/>
      <c r="B13" s="9">
        <f t="shared" si="1"/>
        <v>9</v>
      </c>
      <c r="C13" s="17" t="s">
        <v>36</v>
      </c>
      <c r="D13" s="17" t="s">
        <v>37</v>
      </c>
      <c r="E13" s="11">
        <v>3</v>
      </c>
      <c r="F13" s="12">
        <v>750000</v>
      </c>
      <c r="G13" s="12">
        <f t="shared" si="0"/>
        <v>2250000</v>
      </c>
      <c r="I13" s="13"/>
      <c r="J13" s="13"/>
    </row>
    <row r="14" spans="1:10" ht="15">
      <c r="A14" s="8"/>
      <c r="B14" s="9">
        <f t="shared" si="1"/>
        <v>10</v>
      </c>
      <c r="C14" s="17" t="s">
        <v>38</v>
      </c>
      <c r="D14" s="17" t="s">
        <v>39</v>
      </c>
      <c r="E14" s="11">
        <v>1</v>
      </c>
      <c r="F14" s="12">
        <v>1500000</v>
      </c>
      <c r="G14" s="12">
        <f t="shared" si="0"/>
        <v>1500000</v>
      </c>
      <c r="I14" s="13"/>
      <c r="J14" s="13"/>
    </row>
    <row r="15" spans="1:10" ht="15">
      <c r="A15" s="8"/>
      <c r="B15" s="9">
        <f t="shared" si="1"/>
        <v>11</v>
      </c>
      <c r="C15" s="10" t="s">
        <v>40</v>
      </c>
      <c r="D15" s="10" t="s">
        <v>41</v>
      </c>
      <c r="E15" s="11">
        <v>1</v>
      </c>
      <c r="F15" s="12" t="s">
        <v>42</v>
      </c>
      <c r="G15" s="12" t="s">
        <v>42</v>
      </c>
      <c r="I15" s="13"/>
      <c r="J15" s="13"/>
    </row>
    <row r="16" spans="1:10" ht="15">
      <c r="A16" s="8"/>
      <c r="B16" s="9">
        <f t="shared" si="1"/>
        <v>12</v>
      </c>
      <c r="C16" s="10" t="s">
        <v>43</v>
      </c>
      <c r="D16" s="10" t="s">
        <v>44</v>
      </c>
      <c r="E16" s="11">
        <v>1</v>
      </c>
      <c r="F16" s="12">
        <v>2100000</v>
      </c>
      <c r="G16" s="12">
        <f t="shared" si="0"/>
        <v>2100000</v>
      </c>
      <c r="I16" s="13"/>
      <c r="J16" s="13"/>
    </row>
    <row r="17" spans="1:10" ht="15">
      <c r="A17" s="8"/>
      <c r="B17" s="9">
        <f t="shared" si="1"/>
        <v>13</v>
      </c>
      <c r="C17" s="10" t="s">
        <v>45</v>
      </c>
      <c r="D17" s="10" t="s">
        <v>46</v>
      </c>
      <c r="E17" s="11">
        <v>1</v>
      </c>
      <c r="F17" s="12">
        <v>10000000</v>
      </c>
      <c r="G17" s="12">
        <f t="shared" si="0"/>
        <v>10000000</v>
      </c>
      <c r="H17" s="16"/>
      <c r="I17" s="13"/>
      <c r="J17" s="13"/>
    </row>
    <row r="18" spans="1:10" ht="15">
      <c r="A18" s="8"/>
      <c r="B18" s="9">
        <f t="shared" si="1"/>
        <v>14</v>
      </c>
      <c r="C18" s="10" t="s">
        <v>47</v>
      </c>
      <c r="D18" s="10" t="s">
        <v>48</v>
      </c>
      <c r="E18" s="11">
        <v>1</v>
      </c>
      <c r="F18" s="12">
        <v>2500000</v>
      </c>
      <c r="G18" s="12">
        <f t="shared" si="0"/>
        <v>2500000</v>
      </c>
      <c r="I18" s="13"/>
      <c r="J18" s="13"/>
    </row>
    <row r="19" spans="1:10" ht="15">
      <c r="A19" s="8"/>
      <c r="B19" s="9">
        <f t="shared" si="1"/>
        <v>15</v>
      </c>
      <c r="C19" s="10" t="s">
        <v>49</v>
      </c>
      <c r="D19" s="10" t="s">
        <v>50</v>
      </c>
      <c r="E19" s="11">
        <v>1</v>
      </c>
      <c r="F19" s="12">
        <v>7200000</v>
      </c>
      <c r="G19" s="12">
        <f t="shared" si="0"/>
        <v>7200000</v>
      </c>
      <c r="I19" s="13"/>
      <c r="J19" s="13"/>
    </row>
    <row r="20" spans="1:10" ht="15">
      <c r="A20" s="8"/>
      <c r="B20" s="9">
        <f t="shared" si="1"/>
        <v>16</v>
      </c>
      <c r="C20" s="10" t="s">
        <v>51</v>
      </c>
      <c r="D20" s="10" t="s">
        <v>52</v>
      </c>
      <c r="E20" s="11">
        <v>1</v>
      </c>
      <c r="F20" s="12">
        <v>8000000</v>
      </c>
      <c r="G20" s="12">
        <f t="shared" si="0"/>
        <v>8000000</v>
      </c>
      <c r="I20" s="13"/>
      <c r="J20" s="13"/>
    </row>
    <row r="21" spans="1:10" ht="15">
      <c r="A21" s="8"/>
      <c r="B21" s="9">
        <f t="shared" si="1"/>
        <v>17</v>
      </c>
      <c r="C21" s="10" t="s">
        <v>53</v>
      </c>
      <c r="D21" s="10" t="s">
        <v>54</v>
      </c>
      <c r="E21" s="11">
        <v>1</v>
      </c>
      <c r="F21" s="12">
        <v>2500000</v>
      </c>
      <c r="G21" s="12">
        <f t="shared" si="0"/>
        <v>2500000</v>
      </c>
      <c r="I21" s="13"/>
      <c r="J21" s="13"/>
    </row>
    <row r="22" spans="1:10" ht="15">
      <c r="A22" s="8"/>
      <c r="B22" s="9">
        <f t="shared" si="1"/>
        <v>18</v>
      </c>
      <c r="C22" s="10" t="s">
        <v>55</v>
      </c>
      <c r="D22" s="10" t="s">
        <v>56</v>
      </c>
      <c r="E22" s="11">
        <v>1</v>
      </c>
      <c r="F22" s="12">
        <v>375000</v>
      </c>
      <c r="G22" s="12">
        <f t="shared" si="0"/>
        <v>375000</v>
      </c>
      <c r="I22" s="13"/>
      <c r="J22" s="13"/>
    </row>
    <row r="23" spans="1:10" ht="15">
      <c r="A23" s="8"/>
      <c r="B23" s="9">
        <v>19</v>
      </c>
      <c r="C23" s="10" t="s">
        <v>57</v>
      </c>
      <c r="D23" s="10"/>
      <c r="E23" s="11">
        <v>1</v>
      </c>
      <c r="F23" s="12">
        <v>5600000</v>
      </c>
      <c r="G23" s="12">
        <f t="shared" si="0"/>
        <v>5600000</v>
      </c>
      <c r="I23" s="13"/>
      <c r="J23" s="13"/>
    </row>
    <row r="24" spans="1:10" ht="15">
      <c r="B24" s="22"/>
      <c r="C24" s="22" t="s">
        <v>58</v>
      </c>
      <c r="D24" s="22"/>
      <c r="E24" s="23"/>
      <c r="F24" s="23"/>
      <c r="G24" s="23">
        <f>SUM(G4:G23)</f>
        <v>70225000</v>
      </c>
      <c r="I24" s="13"/>
      <c r="J24" s="13"/>
    </row>
  </sheetData>
  <mergeCells count="1">
    <mergeCell ref="B1:G1"/>
  </mergeCells>
  <pageMargins left="0.7" right="0.7" top="0.75" bottom="0.75" header="0.3" footer="0.3"/>
  <pageSetup paperSize="1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D850-C241-424D-9B66-2408EA037853}">
  <dimension ref="B1:G11"/>
  <sheetViews>
    <sheetView workbookViewId="0">
      <selection activeCell="D14" sqref="D14"/>
    </sheetView>
  </sheetViews>
  <sheetFormatPr defaultColWidth="9" defaultRowHeight="14.25"/>
  <cols>
    <col min="1" max="1" width="3.85546875" style="1" customWidth="1"/>
    <col min="2" max="2" width="5.140625" style="1" customWidth="1"/>
    <col min="3" max="3" width="64.28515625" style="45" customWidth="1"/>
    <col min="4" max="4" width="14.5703125" style="45" customWidth="1"/>
    <col min="5" max="5" width="9.28515625" style="46" bestFit="1" customWidth="1"/>
    <col min="6" max="7" width="16.7109375" style="46" customWidth="1"/>
    <col min="8" max="16384" width="9" style="1"/>
  </cols>
  <sheetData>
    <row r="1" spans="2:7" ht="15.75">
      <c r="B1" s="127" t="s">
        <v>89</v>
      </c>
      <c r="C1" s="127"/>
      <c r="D1" s="127"/>
      <c r="E1" s="127"/>
      <c r="F1" s="127"/>
      <c r="G1" s="127"/>
    </row>
    <row r="2" spans="2:7" ht="15">
      <c r="B2" s="4"/>
      <c r="C2" s="36"/>
      <c r="D2" s="36"/>
      <c r="E2" s="5"/>
      <c r="F2" s="5"/>
      <c r="G2" s="5"/>
    </row>
    <row r="3" spans="2:7" ht="31.5">
      <c r="B3" s="6" t="s">
        <v>0</v>
      </c>
      <c r="C3" s="37" t="s">
        <v>17</v>
      </c>
      <c r="D3" s="37" t="s">
        <v>61</v>
      </c>
      <c r="E3" s="7" t="s">
        <v>2</v>
      </c>
      <c r="F3" s="7" t="s">
        <v>19</v>
      </c>
      <c r="G3" s="7" t="s">
        <v>5</v>
      </c>
    </row>
    <row r="4" spans="2:7" s="26" customFormat="1">
      <c r="B4" s="2">
        <v>1</v>
      </c>
      <c r="C4" s="38" t="s">
        <v>90</v>
      </c>
      <c r="D4" s="38" t="s">
        <v>91</v>
      </c>
      <c r="E4" s="39">
        <v>6</v>
      </c>
      <c r="F4" s="40">
        <v>95000</v>
      </c>
      <c r="G4" s="40">
        <f t="shared" ref="G4:G10" si="0">E4*F4</f>
        <v>570000</v>
      </c>
    </row>
    <row r="5" spans="2:7" s="26" customFormat="1">
      <c r="B5" s="2">
        <f>B4+1</f>
        <v>2</v>
      </c>
      <c r="C5" s="38" t="s">
        <v>92</v>
      </c>
      <c r="D5" s="38" t="s">
        <v>93</v>
      </c>
      <c r="E5" s="39">
        <v>1</v>
      </c>
      <c r="F5" s="40">
        <v>400000</v>
      </c>
      <c r="G5" s="40">
        <f t="shared" si="0"/>
        <v>400000</v>
      </c>
    </row>
    <row r="6" spans="2:7" s="26" customFormat="1">
      <c r="B6" s="2">
        <f t="shared" ref="B6:B10" si="1">B5+1</f>
        <v>3</v>
      </c>
      <c r="C6" s="38" t="s">
        <v>94</v>
      </c>
      <c r="D6" s="38" t="s">
        <v>95</v>
      </c>
      <c r="E6" s="39">
        <v>1</v>
      </c>
      <c r="F6" s="40">
        <v>18250000</v>
      </c>
      <c r="G6" s="40">
        <f t="shared" si="0"/>
        <v>18250000</v>
      </c>
    </row>
    <row r="7" spans="2:7" s="26" customFormat="1">
      <c r="B7" s="2">
        <f t="shared" si="1"/>
        <v>4</v>
      </c>
      <c r="C7" s="38" t="s">
        <v>96</v>
      </c>
      <c r="D7" s="38" t="s">
        <v>93</v>
      </c>
      <c r="E7" s="39">
        <v>1</v>
      </c>
      <c r="F7" s="40">
        <v>450000</v>
      </c>
      <c r="G7" s="40">
        <f t="shared" si="0"/>
        <v>450000</v>
      </c>
    </row>
    <row r="8" spans="2:7" s="26" customFormat="1">
      <c r="B8" s="2">
        <f t="shared" si="1"/>
        <v>5</v>
      </c>
      <c r="C8" s="38" t="s">
        <v>97</v>
      </c>
      <c r="D8" s="38" t="s">
        <v>93</v>
      </c>
      <c r="E8" s="39">
        <v>72</v>
      </c>
      <c r="F8" s="40">
        <v>60000</v>
      </c>
      <c r="G8" s="40">
        <f t="shared" si="0"/>
        <v>4320000</v>
      </c>
    </row>
    <row r="9" spans="2:7" s="26" customFormat="1" ht="28.5">
      <c r="B9" s="2">
        <f t="shared" si="1"/>
        <v>6</v>
      </c>
      <c r="C9" s="38" t="s">
        <v>98</v>
      </c>
      <c r="D9" s="38" t="s">
        <v>93</v>
      </c>
      <c r="E9" s="39">
        <v>1</v>
      </c>
      <c r="F9" s="40">
        <v>2500000</v>
      </c>
      <c r="G9" s="40">
        <f t="shared" si="0"/>
        <v>2500000</v>
      </c>
    </row>
    <row r="10" spans="2:7" s="26" customFormat="1">
      <c r="B10" s="2">
        <f t="shared" si="1"/>
        <v>7</v>
      </c>
      <c r="C10" s="38" t="s">
        <v>99</v>
      </c>
      <c r="D10" s="38" t="s">
        <v>93</v>
      </c>
      <c r="E10" s="39">
        <v>1</v>
      </c>
      <c r="F10" s="40">
        <v>200000</v>
      </c>
      <c r="G10" s="40">
        <f t="shared" si="0"/>
        <v>200000</v>
      </c>
    </row>
    <row r="11" spans="2:7" s="26" customFormat="1" ht="15">
      <c r="B11" s="41"/>
      <c r="C11" s="42" t="s">
        <v>58</v>
      </c>
      <c r="D11" s="42"/>
      <c r="E11" s="43"/>
      <c r="F11" s="43"/>
      <c r="G11" s="44">
        <f>SUM(G4:G10)</f>
        <v>26690000</v>
      </c>
    </row>
  </sheetData>
  <mergeCells count="1">
    <mergeCell ref="B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ADA1-CDD4-4894-8B80-AD8E532A05EA}">
  <dimension ref="B1:I17"/>
  <sheetViews>
    <sheetView workbookViewId="0">
      <selection activeCell="G11" sqref="G11"/>
    </sheetView>
  </sheetViews>
  <sheetFormatPr defaultColWidth="9" defaultRowHeight="14.25"/>
  <cols>
    <col min="1" max="1" width="9" style="1"/>
    <col min="2" max="2" width="4.140625" style="1" bestFit="1" customWidth="1"/>
    <col min="3" max="3" width="30" style="1" bestFit="1" customWidth="1"/>
    <col min="4" max="4" width="23.140625" style="1" customWidth="1"/>
    <col min="5" max="5" width="13.28515625" style="1" bestFit="1" customWidth="1"/>
    <col min="6" max="6" width="6.28515625" style="1" bestFit="1" customWidth="1"/>
    <col min="7" max="8" width="16.7109375" style="1" customWidth="1"/>
    <col min="9" max="9" width="28" style="1" customWidth="1"/>
    <col min="10" max="16384" width="9" style="1"/>
  </cols>
  <sheetData>
    <row r="1" spans="2:9" ht="15.75">
      <c r="B1" s="127" t="s">
        <v>59</v>
      </c>
      <c r="C1" s="127"/>
      <c r="D1" s="127"/>
      <c r="E1" s="127"/>
      <c r="F1" s="127"/>
      <c r="G1" s="127"/>
      <c r="H1" s="127"/>
      <c r="I1" s="127"/>
    </row>
    <row r="2" spans="2:9" ht="15">
      <c r="B2" s="4"/>
      <c r="C2" s="4"/>
      <c r="D2" s="4"/>
      <c r="E2" s="4"/>
      <c r="F2" s="5"/>
      <c r="G2" s="5"/>
      <c r="H2" s="5"/>
    </row>
    <row r="3" spans="2:9" ht="15.75">
      <c r="B3" s="6" t="s">
        <v>0</v>
      </c>
      <c r="C3" s="6" t="s">
        <v>60</v>
      </c>
      <c r="D3" s="6" t="s">
        <v>61</v>
      </c>
      <c r="E3" s="6" t="s">
        <v>62</v>
      </c>
      <c r="F3" s="7" t="s">
        <v>2</v>
      </c>
      <c r="G3" s="7" t="s">
        <v>19</v>
      </c>
      <c r="H3" s="7" t="s">
        <v>5</v>
      </c>
      <c r="I3" s="7" t="s">
        <v>88</v>
      </c>
    </row>
    <row r="4" spans="2:9" ht="15">
      <c r="B4" s="24">
        <v>1</v>
      </c>
      <c r="C4" s="14" t="s">
        <v>63</v>
      </c>
      <c r="D4" s="14" t="s">
        <v>64</v>
      </c>
      <c r="E4" s="14" t="s">
        <v>65</v>
      </c>
      <c r="F4" s="11">
        <v>1</v>
      </c>
      <c r="G4" s="15">
        <v>2250000</v>
      </c>
      <c r="H4" s="15">
        <f>F4*G4</f>
        <v>2250000</v>
      </c>
      <c r="I4" s="3" t="s">
        <v>193</v>
      </c>
    </row>
    <row r="5" spans="2:9" ht="15">
      <c r="B5" s="24">
        <v>2</v>
      </c>
      <c r="C5" s="14" t="s">
        <v>66</v>
      </c>
      <c r="D5" s="14" t="s">
        <v>67</v>
      </c>
      <c r="E5" s="14" t="s">
        <v>68</v>
      </c>
      <c r="F5" s="11">
        <v>1</v>
      </c>
      <c r="G5" s="15">
        <v>1900000</v>
      </c>
      <c r="H5" s="15">
        <f t="shared" ref="H5:H11" si="0">F5*G5</f>
        <v>1900000</v>
      </c>
      <c r="I5" s="3" t="s">
        <v>193</v>
      </c>
    </row>
    <row r="6" spans="2:9" ht="15">
      <c r="B6" s="24">
        <v>3</v>
      </c>
      <c r="C6" s="14" t="s">
        <v>69</v>
      </c>
      <c r="D6" s="14" t="s">
        <v>70</v>
      </c>
      <c r="E6" s="14" t="s">
        <v>71</v>
      </c>
      <c r="F6" s="11">
        <v>4</v>
      </c>
      <c r="G6" s="15">
        <v>1500000</v>
      </c>
      <c r="H6" s="15">
        <f t="shared" si="0"/>
        <v>6000000</v>
      </c>
      <c r="I6" s="3" t="s">
        <v>193</v>
      </c>
    </row>
    <row r="7" spans="2:9" ht="15">
      <c r="B7" s="24">
        <v>4</v>
      </c>
      <c r="C7" s="14" t="s">
        <v>72</v>
      </c>
      <c r="D7" s="14" t="s">
        <v>67</v>
      </c>
      <c r="E7" s="14" t="s">
        <v>71</v>
      </c>
      <c r="F7" s="11">
        <v>4</v>
      </c>
      <c r="G7" s="15">
        <v>1300000</v>
      </c>
      <c r="H7" s="15">
        <f t="shared" si="0"/>
        <v>5200000</v>
      </c>
      <c r="I7" s="3" t="s">
        <v>193</v>
      </c>
    </row>
    <row r="8" spans="2:9" ht="15">
      <c r="B8" s="24">
        <v>5</v>
      </c>
      <c r="C8" s="14" t="s">
        <v>73</v>
      </c>
      <c r="D8" s="14" t="s">
        <v>70</v>
      </c>
      <c r="E8" s="14" t="s">
        <v>74</v>
      </c>
      <c r="F8" s="11">
        <v>1</v>
      </c>
      <c r="G8" s="15">
        <v>1400000</v>
      </c>
      <c r="H8" s="15">
        <f t="shared" si="0"/>
        <v>1400000</v>
      </c>
      <c r="I8" s="3" t="s">
        <v>87</v>
      </c>
    </row>
    <row r="9" spans="2:9" ht="15">
      <c r="B9" s="24">
        <v>6</v>
      </c>
      <c r="C9" s="14" t="s">
        <v>75</v>
      </c>
      <c r="D9" s="14" t="s">
        <v>76</v>
      </c>
      <c r="E9" s="14" t="s">
        <v>71</v>
      </c>
      <c r="F9" s="11">
        <v>1</v>
      </c>
      <c r="G9" s="15">
        <v>1400000</v>
      </c>
      <c r="H9" s="15">
        <f t="shared" si="0"/>
        <v>1400000</v>
      </c>
      <c r="I9" s="3" t="s">
        <v>87</v>
      </c>
    </row>
    <row r="10" spans="2:9" ht="15">
      <c r="B10" s="24">
        <v>7</v>
      </c>
      <c r="C10" s="14" t="s">
        <v>77</v>
      </c>
      <c r="D10" s="14" t="s">
        <v>78</v>
      </c>
      <c r="E10" s="14" t="s">
        <v>74</v>
      </c>
      <c r="F10" s="11">
        <v>1</v>
      </c>
      <c r="G10" s="15">
        <v>1820000</v>
      </c>
      <c r="H10" s="15">
        <f t="shared" si="0"/>
        <v>1820000</v>
      </c>
      <c r="I10" s="3" t="s">
        <v>87</v>
      </c>
    </row>
    <row r="11" spans="2:9" ht="15">
      <c r="B11" s="24">
        <v>8</v>
      </c>
      <c r="C11" s="14" t="s">
        <v>79</v>
      </c>
      <c r="D11" s="14" t="s">
        <v>78</v>
      </c>
      <c r="E11" s="14" t="s">
        <v>71</v>
      </c>
      <c r="F11" s="11">
        <v>1</v>
      </c>
      <c r="G11" s="15">
        <v>1400000</v>
      </c>
      <c r="H11" s="15">
        <f t="shared" si="0"/>
        <v>1400000</v>
      </c>
      <c r="I11" s="3" t="s">
        <v>87</v>
      </c>
    </row>
    <row r="12" spans="2:9" ht="15">
      <c r="B12" s="22"/>
      <c r="C12" s="22" t="s">
        <v>80</v>
      </c>
      <c r="D12" s="22"/>
      <c r="E12" s="22"/>
      <c r="F12" s="25">
        <f>SUM(F4:F11)</f>
        <v>14</v>
      </c>
      <c r="G12" s="23"/>
      <c r="H12" s="23">
        <f>SUM(H4:H11)</f>
        <v>21370000</v>
      </c>
    </row>
    <row r="13" spans="2:9" s="26" customFormat="1" ht="15">
      <c r="B13" s="27"/>
      <c r="C13" s="27"/>
      <c r="D13" s="27"/>
      <c r="E13" s="27"/>
      <c r="F13" s="28"/>
      <c r="G13" s="29"/>
      <c r="H13" s="29"/>
    </row>
    <row r="14" spans="2:9" s="26" customFormat="1" ht="15">
      <c r="B14" s="30"/>
      <c r="C14" s="30" t="s">
        <v>81</v>
      </c>
      <c r="D14" s="30" t="s">
        <v>82</v>
      </c>
      <c r="E14" s="30" t="s">
        <v>83</v>
      </c>
      <c r="F14" s="31">
        <v>6</v>
      </c>
      <c r="G14" s="32">
        <v>110000</v>
      </c>
      <c r="H14" s="32">
        <f>F14*G14</f>
        <v>660000</v>
      </c>
    </row>
    <row r="15" spans="2:9" s="26" customFormat="1" ht="15">
      <c r="B15" s="30"/>
      <c r="C15" s="30" t="s">
        <v>84</v>
      </c>
      <c r="D15" s="30" t="s">
        <v>85</v>
      </c>
      <c r="E15" s="30" t="s">
        <v>83</v>
      </c>
      <c r="F15" s="31">
        <v>8</v>
      </c>
      <c r="G15" s="32">
        <v>104036</v>
      </c>
      <c r="H15" s="32">
        <f>F15*G15</f>
        <v>832288</v>
      </c>
    </row>
    <row r="16" spans="2:9" s="26" customFormat="1" ht="15">
      <c r="B16" s="33">
        <v>8</v>
      </c>
      <c r="C16" s="30" t="s">
        <v>86</v>
      </c>
      <c r="D16" s="30"/>
      <c r="E16" s="30"/>
      <c r="F16" s="32"/>
      <c r="G16" s="32"/>
      <c r="H16" s="32">
        <f>H14+H15</f>
        <v>1492288</v>
      </c>
    </row>
    <row r="17" spans="2:8" s="26" customFormat="1" ht="15">
      <c r="B17" s="34"/>
      <c r="C17" s="34" t="s">
        <v>80</v>
      </c>
      <c r="D17" s="34"/>
      <c r="E17" s="34"/>
      <c r="F17" s="35"/>
      <c r="G17" s="35"/>
      <c r="H17" s="35">
        <f>H12+H16</f>
        <v>22862288</v>
      </c>
    </row>
  </sheetData>
  <mergeCells count="1">
    <mergeCell ref="B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</vt:lpstr>
      <vt:lpstr>KKI</vt:lpstr>
      <vt:lpstr>RAK</vt:lpstr>
      <vt:lpstr>POS</vt:lpstr>
      <vt:lpstr>PK</vt:lpstr>
      <vt:lpstr>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DELL</cp:lastModifiedBy>
  <cp:lastPrinted>2024-10-11T08:27:27Z</cp:lastPrinted>
  <dcterms:created xsi:type="dcterms:W3CDTF">2024-10-07T19:03:56Z</dcterms:created>
  <dcterms:modified xsi:type="dcterms:W3CDTF">2025-09-18T03:59:51Z</dcterms:modified>
</cp:coreProperties>
</file>